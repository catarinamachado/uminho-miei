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m/Desktop/"/>
    </mc:Choice>
  </mc:AlternateContent>
  <xr:revisionPtr revIDLastSave="0" documentId="8_{9DE338D0-0893-D744-9CB4-B1E6D4712AD6}" xr6:coauthVersionLast="43" xr6:coauthVersionMax="43" xr10:uidLastSave="{00000000-0000-0000-0000-000000000000}"/>
  <bookViews>
    <workbookView xWindow="0" yWindow="460" windowWidth="28800" windowHeight="16420" activeTab="6" xr2:uid="{DCA67429-CA7D-4F1D-A3D6-2DBEE2700B5C}"/>
  </bookViews>
  <sheets>
    <sheet name="Modelo de Simulação" sheetId="2" r:id="rId1"/>
    <sheet name="Simulação - Lucro" sheetId="6" r:id="rId2"/>
    <sheet name="Simulação - Taxa de Serviço" sheetId="7" r:id="rId3"/>
    <sheet name="Simulação - Custos" sheetId="10" r:id="rId4"/>
    <sheet name="s e S segundo fórmula" sheetId="8" r:id="rId5"/>
    <sheet name="Gráficos" sheetId="9" r:id="rId6"/>
    <sheet name="Enunciado" sheetId="1" r:id="rId7"/>
  </sheets>
  <definedNames>
    <definedName name="solver_eng" localSheetId="6" hidden="1">1</definedName>
    <definedName name="solver_eng" localSheetId="0" hidden="1">1</definedName>
    <definedName name="solver_lin" localSheetId="0" hidden="1">2</definedName>
    <definedName name="solver_neg" localSheetId="6" hidden="1">1</definedName>
    <definedName name="solver_neg" localSheetId="0" hidden="1">1</definedName>
    <definedName name="solver_num" localSheetId="6" hidden="1">0</definedName>
    <definedName name="solver_num" localSheetId="0" hidden="1">0</definedName>
    <definedName name="solver_opt" localSheetId="6" hidden="1">Enunciado!$K$19</definedName>
    <definedName name="solver_opt" localSheetId="0" hidden="1">'Modelo de Simulação'!#REF!</definedName>
    <definedName name="solver_typ" localSheetId="6" hidden="1">1</definedName>
    <definedName name="solver_typ" localSheetId="0" hidden="1">1</definedName>
    <definedName name="solver_val" localSheetId="6" hidden="1">0</definedName>
    <definedName name="solver_val" localSheetId="0" hidden="1">0</definedName>
    <definedName name="solver_ver" localSheetId="6" hidden="1">3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2" l="1"/>
  <c r="R4" i="2"/>
  <c r="C10" i="8"/>
  <c r="C9" i="8" l="1"/>
  <c r="C11" i="8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G3" i="2"/>
  <c r="O3" i="2" s="1"/>
  <c r="R5" i="1"/>
  <c r="R4" i="1"/>
  <c r="R19" i="2"/>
  <c r="G5" i="2"/>
  <c r="O5" i="2" s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Q5" i="1"/>
  <c r="Q4" i="1"/>
  <c r="G7" i="2"/>
  <c r="O7" i="2" s="1"/>
  <c r="G9" i="2"/>
  <c r="O9" i="2" s="1"/>
  <c r="G11" i="2"/>
  <c r="O11" i="2" s="1"/>
  <c r="G13" i="2"/>
  <c r="O13" i="2" s="1"/>
  <c r="G15" i="2"/>
  <c r="O15" i="2" s="1"/>
  <c r="G17" i="2"/>
  <c r="O17" i="2" s="1"/>
  <c r="G19" i="2"/>
  <c r="O19" i="2" s="1"/>
  <c r="G21" i="2"/>
  <c r="O21" i="2" s="1"/>
  <c r="G23" i="2"/>
  <c r="O23" i="2" s="1"/>
  <c r="G25" i="2"/>
  <c r="O25" i="2" s="1"/>
  <c r="G27" i="2"/>
  <c r="O27" i="2" s="1"/>
  <c r="G29" i="2"/>
  <c r="O29" i="2" s="1"/>
  <c r="G31" i="2"/>
  <c r="O31" i="2" s="1"/>
  <c r="G33" i="2"/>
  <c r="O33" i="2" s="1"/>
  <c r="G35" i="2"/>
  <c r="O35" i="2" s="1"/>
  <c r="G37" i="2"/>
  <c r="O37" i="2" s="1"/>
  <c r="G39" i="2"/>
  <c r="O39" i="2" s="1"/>
  <c r="G41" i="2"/>
  <c r="O41" i="2" s="1"/>
  <c r="G43" i="2"/>
  <c r="O43" i="2" s="1"/>
  <c r="G45" i="2"/>
  <c r="O45" i="2" s="1"/>
  <c r="G47" i="2"/>
  <c r="O47" i="2" s="1"/>
  <c r="G49" i="2"/>
  <c r="O49" i="2" s="1"/>
  <c r="G51" i="2"/>
  <c r="O51" i="2" s="1"/>
  <c r="Q7" i="1"/>
  <c r="C3" i="2" l="1"/>
  <c r="P53" i="1"/>
  <c r="Q53" i="1" s="1"/>
  <c r="P52" i="1"/>
  <c r="Q52" i="1" s="1"/>
  <c r="P51" i="1"/>
  <c r="Q51" i="1" s="1"/>
  <c r="P50" i="1"/>
  <c r="Q50" i="1" s="1"/>
  <c r="Q49" i="1"/>
  <c r="P49" i="1"/>
  <c r="Q48" i="1"/>
  <c r="P48" i="1"/>
  <c r="P47" i="1"/>
  <c r="Q47" i="1" s="1"/>
  <c r="P46" i="1"/>
  <c r="Q46" i="1" s="1"/>
  <c r="Q45" i="1"/>
  <c r="P45" i="1"/>
  <c r="Q44" i="1"/>
  <c r="P44" i="1"/>
  <c r="P43" i="1"/>
  <c r="Q43" i="1" s="1"/>
  <c r="P42" i="1"/>
  <c r="Q42" i="1" s="1"/>
  <c r="Q41" i="1"/>
  <c r="P41" i="1"/>
  <c r="Q40" i="1"/>
  <c r="P40" i="1"/>
  <c r="P39" i="1"/>
  <c r="Q39" i="1" s="1"/>
  <c r="P38" i="1"/>
  <c r="Q38" i="1" s="1"/>
  <c r="Q37" i="1"/>
  <c r="P37" i="1"/>
  <c r="Q36" i="1"/>
  <c r="P36" i="1"/>
  <c r="P35" i="1"/>
  <c r="Q35" i="1" s="1"/>
  <c r="P34" i="1"/>
  <c r="Q34" i="1" s="1"/>
  <c r="Q33" i="1"/>
  <c r="P33" i="1"/>
  <c r="Q32" i="1"/>
  <c r="P32" i="1"/>
  <c r="P31" i="1"/>
  <c r="Q31" i="1" s="1"/>
  <c r="P30" i="1"/>
  <c r="Q30" i="1" s="1"/>
  <c r="Q29" i="1"/>
  <c r="P29" i="1"/>
  <c r="Q28" i="1"/>
  <c r="P28" i="1"/>
  <c r="P27" i="1"/>
  <c r="Q27" i="1" s="1"/>
  <c r="P26" i="1"/>
  <c r="Q26" i="1" s="1"/>
  <c r="D26" i="1"/>
  <c r="P25" i="1"/>
  <c r="Q25" i="1" s="1"/>
  <c r="Q24" i="1"/>
  <c r="P24" i="1"/>
  <c r="Q23" i="1"/>
  <c r="P23" i="1"/>
  <c r="P22" i="1"/>
  <c r="Q22" i="1" s="1"/>
  <c r="I22" i="1"/>
  <c r="P21" i="1"/>
  <c r="Q21" i="1" s="1"/>
  <c r="I21" i="1"/>
  <c r="P20" i="1"/>
  <c r="Q20" i="1" s="1"/>
  <c r="I20" i="1"/>
  <c r="P19" i="1"/>
  <c r="Q19" i="1" s="1"/>
  <c r="P18" i="1"/>
  <c r="Q18" i="1" s="1"/>
  <c r="Q17" i="1"/>
  <c r="P17" i="1"/>
  <c r="Q16" i="1"/>
  <c r="P16" i="1"/>
  <c r="P15" i="1"/>
  <c r="Q15" i="1" s="1"/>
  <c r="P14" i="1"/>
  <c r="Q14" i="1" s="1"/>
  <c r="Q13" i="1"/>
  <c r="P13" i="1"/>
  <c r="Q12" i="1"/>
  <c r="P12" i="1"/>
  <c r="P11" i="1"/>
  <c r="Q11" i="1" s="1"/>
  <c r="P10" i="1"/>
  <c r="Q10" i="1" s="1"/>
  <c r="Q9" i="1"/>
  <c r="P9" i="1"/>
  <c r="Q8" i="1"/>
  <c r="P8" i="1"/>
  <c r="P7" i="1"/>
  <c r="P6" i="1"/>
  <c r="Q6" i="1" s="1"/>
  <c r="F5" i="2" s="1"/>
  <c r="P5" i="1"/>
  <c r="F3" i="2"/>
  <c r="P4" i="1"/>
  <c r="J3" i="2" l="1"/>
  <c r="F11" i="2" l="1"/>
  <c r="F23" i="2"/>
  <c r="F31" i="2"/>
  <c r="F39" i="2"/>
  <c r="F43" i="2"/>
  <c r="F47" i="2"/>
  <c r="F51" i="2"/>
  <c r="F4" i="2"/>
  <c r="F8" i="2"/>
  <c r="F12" i="2"/>
  <c r="F16" i="2"/>
  <c r="F20" i="2"/>
  <c r="F24" i="2"/>
  <c r="F28" i="2"/>
  <c r="F32" i="2"/>
  <c r="F36" i="2"/>
  <c r="F40" i="2"/>
  <c r="F44" i="2"/>
  <c r="F48" i="2"/>
  <c r="F52" i="2"/>
  <c r="F15" i="2"/>
  <c r="F27" i="2"/>
  <c r="F9" i="2"/>
  <c r="F25" i="2"/>
  <c r="F29" i="2"/>
  <c r="F33" i="2"/>
  <c r="F37" i="2"/>
  <c r="F41" i="2"/>
  <c r="F45" i="2"/>
  <c r="F49" i="2"/>
  <c r="F7" i="2"/>
  <c r="F19" i="2"/>
  <c r="F35" i="2"/>
  <c r="F13" i="2"/>
  <c r="F17" i="2"/>
  <c r="F21" i="2"/>
  <c r="F6" i="2"/>
  <c r="F10" i="2"/>
  <c r="F14" i="2"/>
  <c r="F18" i="2"/>
  <c r="F22" i="2"/>
  <c r="F26" i="2"/>
  <c r="F30" i="2"/>
  <c r="F34" i="2"/>
  <c r="F38" i="2"/>
  <c r="F42" i="2"/>
  <c r="F46" i="2"/>
  <c r="F50" i="2"/>
  <c r="R25" i="2" l="1"/>
  <c r="C8" i="8" s="1"/>
  <c r="L3" i="2"/>
  <c r="F3" i="8" l="1"/>
  <c r="D3" i="2"/>
  <c r="H3" i="2" s="1"/>
  <c r="K3" i="2"/>
  <c r="N3" i="2" l="1"/>
  <c r="Y3" i="9"/>
  <c r="C4" i="2"/>
  <c r="J4" i="2" s="1"/>
  <c r="E3" i="2"/>
  <c r="M3" i="2" l="1"/>
  <c r="X3" i="9"/>
  <c r="K4" i="2"/>
  <c r="L4" i="2"/>
  <c r="D4" i="2"/>
  <c r="C5" i="2" s="1"/>
  <c r="N4" i="2" l="1"/>
  <c r="Y4" i="9"/>
  <c r="E4" i="2"/>
  <c r="P3" i="2"/>
  <c r="Z3" i="9" s="1"/>
  <c r="AA3" i="9" s="1"/>
  <c r="G4" i="2"/>
  <c r="H4" i="2" s="1"/>
  <c r="M4" i="2" l="1"/>
  <c r="X4" i="9"/>
  <c r="O4" i="2"/>
  <c r="J5" i="2"/>
  <c r="K5" i="2" l="1"/>
  <c r="L5" i="2"/>
  <c r="P4" i="2"/>
  <c r="Z4" i="9" s="1"/>
  <c r="AA4" i="9" s="1"/>
  <c r="D5" i="2"/>
  <c r="C6" i="2" s="1"/>
  <c r="N5" i="2" l="1"/>
  <c r="Y5" i="9"/>
  <c r="H5" i="2"/>
  <c r="J6" i="2"/>
  <c r="L6" i="2" s="1"/>
  <c r="E5" i="2"/>
  <c r="M5" i="2" l="1"/>
  <c r="X5" i="9"/>
  <c r="D6" i="2"/>
  <c r="K6" i="2"/>
  <c r="N6" i="2" l="1"/>
  <c r="Y6" i="9"/>
  <c r="E6" i="2"/>
  <c r="C7" i="2"/>
  <c r="J7" i="2" s="1"/>
  <c r="K7" i="2" s="1"/>
  <c r="P5" i="2"/>
  <c r="Z5" i="9" s="1"/>
  <c r="AA5" i="9" s="1"/>
  <c r="G6" i="2"/>
  <c r="N7" i="2" l="1"/>
  <c r="Y7" i="9"/>
  <c r="M6" i="2"/>
  <c r="X6" i="9"/>
  <c r="O6" i="2"/>
  <c r="H6" i="2"/>
  <c r="D7" i="2"/>
  <c r="L7" i="2"/>
  <c r="E7" i="2" l="1"/>
  <c r="C8" i="2"/>
  <c r="J8" i="2" s="1"/>
  <c r="K8" i="2" s="1"/>
  <c r="P6" i="2"/>
  <c r="Z6" i="9" s="1"/>
  <c r="AA6" i="9" s="1"/>
  <c r="H7" i="2"/>
  <c r="N8" i="2" l="1"/>
  <c r="Y8" i="9"/>
  <c r="M7" i="2"/>
  <c r="X7" i="9"/>
  <c r="D8" i="2"/>
  <c r="L8" i="2"/>
  <c r="P7" i="2" l="1"/>
  <c r="Z7" i="9" s="1"/>
  <c r="AA7" i="9" s="1"/>
  <c r="G8" i="2"/>
  <c r="O8" i="2" s="1"/>
  <c r="E8" i="2"/>
  <c r="C9" i="2"/>
  <c r="J9" i="2" s="1"/>
  <c r="D9" i="2" s="1"/>
  <c r="M8" i="2" l="1"/>
  <c r="X8" i="9"/>
  <c r="H8" i="2"/>
  <c r="L9" i="2"/>
  <c r="K9" i="2"/>
  <c r="E9" i="2"/>
  <c r="H9" i="2"/>
  <c r="N9" i="2" l="1"/>
  <c r="Y9" i="9"/>
  <c r="M9" i="2"/>
  <c r="X9" i="9"/>
  <c r="C10" i="2"/>
  <c r="J10" i="2" s="1"/>
  <c r="D10" i="2" s="1"/>
  <c r="P8" i="2"/>
  <c r="Z8" i="9" l="1"/>
  <c r="AA8" i="9" s="1"/>
  <c r="P9" i="2"/>
  <c r="E10" i="2"/>
  <c r="G10" i="2"/>
  <c r="O10" i="2" s="1"/>
  <c r="C11" i="2"/>
  <c r="J11" i="2" s="1"/>
  <c r="K11" i="2" s="1"/>
  <c r="K10" i="2"/>
  <c r="L10" i="2"/>
  <c r="Z9" i="9" l="1"/>
  <c r="AA9" i="9" s="1"/>
  <c r="N10" i="2"/>
  <c r="Y10" i="9"/>
  <c r="N11" i="2"/>
  <c r="Y11" i="9"/>
  <c r="M10" i="2"/>
  <c r="X10" i="9"/>
  <c r="H10" i="2"/>
  <c r="D11" i="2"/>
  <c r="L11" i="2"/>
  <c r="C12" i="2" l="1"/>
  <c r="J12" i="2" s="1"/>
  <c r="L12" i="2" s="1"/>
  <c r="P10" i="2"/>
  <c r="E11" i="2"/>
  <c r="H11" i="2"/>
  <c r="Z10" i="9" l="1"/>
  <c r="AA10" i="9" s="1"/>
  <c r="M11" i="2"/>
  <c r="X11" i="9"/>
  <c r="D12" i="2"/>
  <c r="G12" i="2" s="1"/>
  <c r="O12" i="2" s="1"/>
  <c r="K12" i="2"/>
  <c r="N12" i="2" l="1"/>
  <c r="Y12" i="9"/>
  <c r="P11" i="2"/>
  <c r="E12" i="2"/>
  <c r="H12" i="2"/>
  <c r="C13" i="2"/>
  <c r="J13" i="2" s="1"/>
  <c r="D13" i="2" s="1"/>
  <c r="Z11" i="9" l="1"/>
  <c r="AA11" i="9" s="1"/>
  <c r="M12" i="2"/>
  <c r="X12" i="9"/>
  <c r="H13" i="2"/>
  <c r="E13" i="2"/>
  <c r="C14" i="2"/>
  <c r="K13" i="2"/>
  <c r="L13" i="2"/>
  <c r="N13" i="2" l="1"/>
  <c r="Y13" i="9"/>
  <c r="P12" i="2"/>
  <c r="M13" i="2"/>
  <c r="X13" i="9"/>
  <c r="J14" i="2"/>
  <c r="D14" i="2" s="1"/>
  <c r="G14" i="2" s="1"/>
  <c r="O14" i="2" s="1"/>
  <c r="Z12" i="9" l="1"/>
  <c r="AA12" i="9" s="1"/>
  <c r="P13" i="2"/>
  <c r="Z13" i="9" s="1"/>
  <c r="C15" i="2"/>
  <c r="H14" i="2"/>
  <c r="E14" i="2"/>
  <c r="K14" i="2"/>
  <c r="L14" i="2"/>
  <c r="AA13" i="9" l="1"/>
  <c r="N14" i="2"/>
  <c r="Y14" i="9"/>
  <c r="M14" i="2"/>
  <c r="X14" i="9"/>
  <c r="J15" i="2"/>
  <c r="P14" i="2" l="1"/>
  <c r="Z14" i="9" s="1"/>
  <c r="AA14" i="9" s="1"/>
  <c r="L15" i="2"/>
  <c r="K15" i="2"/>
  <c r="D15" i="2"/>
  <c r="N15" i="2" l="1"/>
  <c r="Y15" i="9"/>
  <c r="H15" i="2"/>
  <c r="C16" i="2"/>
  <c r="E15" i="2"/>
  <c r="M15" i="2" l="1"/>
  <c r="X15" i="9"/>
  <c r="J16" i="2"/>
  <c r="D16" i="2" s="1"/>
  <c r="G16" i="2" s="1"/>
  <c r="O16" i="2" s="1"/>
  <c r="P15" i="2" l="1"/>
  <c r="Z15" i="9" s="1"/>
  <c r="AA15" i="9" s="1"/>
  <c r="E16" i="2"/>
  <c r="H16" i="2"/>
  <c r="C17" i="2"/>
  <c r="L16" i="2"/>
  <c r="K16" i="2"/>
  <c r="N16" i="2" l="1"/>
  <c r="Y16" i="9"/>
  <c r="M16" i="2"/>
  <c r="X16" i="9"/>
  <c r="J17" i="2"/>
  <c r="D17" i="2" s="1"/>
  <c r="P16" i="2" l="1"/>
  <c r="Z16" i="9" s="1"/>
  <c r="AA16" i="9" s="1"/>
  <c r="C18" i="2"/>
  <c r="H17" i="2"/>
  <c r="E17" i="2"/>
  <c r="L17" i="2"/>
  <c r="K17" i="2"/>
  <c r="N17" i="2" s="1"/>
  <c r="Y17" i="9" l="1"/>
  <c r="M17" i="2"/>
  <c r="X17" i="9"/>
  <c r="J18" i="2"/>
  <c r="D18" i="2" s="1"/>
  <c r="G18" i="2" s="1"/>
  <c r="O18" i="2" s="1"/>
  <c r="P17" i="2" l="1"/>
  <c r="Z17" i="9" s="1"/>
  <c r="AA17" i="9" s="1"/>
  <c r="H18" i="2"/>
  <c r="C19" i="2"/>
  <c r="E18" i="2"/>
  <c r="L18" i="2"/>
  <c r="K18" i="2"/>
  <c r="N18" i="2" l="1"/>
  <c r="Y18" i="9"/>
  <c r="M18" i="2"/>
  <c r="X18" i="9"/>
  <c r="J19" i="2"/>
  <c r="D19" i="2" s="1"/>
  <c r="P18" i="2" l="1"/>
  <c r="Z18" i="9" s="1"/>
  <c r="AA18" i="9" s="1"/>
  <c r="C20" i="2"/>
  <c r="H19" i="2"/>
  <c r="E19" i="2"/>
  <c r="L19" i="2"/>
  <c r="K19" i="2"/>
  <c r="N19" i="2" l="1"/>
  <c r="Y19" i="9"/>
  <c r="M19" i="2"/>
  <c r="X19" i="9"/>
  <c r="J20" i="2"/>
  <c r="D20" i="2" s="1"/>
  <c r="G20" i="2" s="1"/>
  <c r="O20" i="2" s="1"/>
  <c r="P19" i="2" l="1"/>
  <c r="Z19" i="9" s="1"/>
  <c r="AA19" i="9" s="1"/>
  <c r="E20" i="2"/>
  <c r="H20" i="2"/>
  <c r="C21" i="2"/>
  <c r="L20" i="2"/>
  <c r="K20" i="2"/>
  <c r="N20" i="2" l="1"/>
  <c r="Y20" i="9"/>
  <c r="M20" i="2"/>
  <c r="X20" i="9"/>
  <c r="J21" i="2"/>
  <c r="D21" i="2" s="1"/>
  <c r="P20" i="2" l="1"/>
  <c r="Z20" i="9" s="1"/>
  <c r="AA20" i="9" s="1"/>
  <c r="C22" i="2"/>
  <c r="H21" i="2"/>
  <c r="E21" i="2"/>
  <c r="L21" i="2"/>
  <c r="K21" i="2"/>
  <c r="N21" i="2" l="1"/>
  <c r="Y21" i="9"/>
  <c r="M21" i="2"/>
  <c r="X21" i="9"/>
  <c r="J22" i="2"/>
  <c r="P21" i="2" l="1"/>
  <c r="Z21" i="9" s="1"/>
  <c r="AA21" i="9" s="1"/>
  <c r="D22" i="2"/>
  <c r="G22" i="2" s="1"/>
  <c r="O22" i="2" s="1"/>
  <c r="K22" i="2"/>
  <c r="L22" i="2"/>
  <c r="N22" i="2" l="1"/>
  <c r="Y22" i="9"/>
  <c r="C23" i="2"/>
  <c r="H22" i="2"/>
  <c r="E22" i="2"/>
  <c r="M22" i="2" l="1"/>
  <c r="X22" i="9"/>
  <c r="J23" i="2"/>
  <c r="P22" i="2" l="1"/>
  <c r="Z22" i="9" s="1"/>
  <c r="AA22" i="9" s="1"/>
  <c r="D23" i="2"/>
  <c r="K23" i="2"/>
  <c r="L23" i="2"/>
  <c r="N23" i="2" l="1"/>
  <c r="Y23" i="9"/>
  <c r="C24" i="2"/>
  <c r="H23" i="2"/>
  <c r="E23" i="2"/>
  <c r="M23" i="2" l="1"/>
  <c r="X23" i="9"/>
  <c r="J24" i="2"/>
  <c r="D24" i="2" s="1"/>
  <c r="P23" i="2" l="1"/>
  <c r="Z23" i="9" s="1"/>
  <c r="AA23" i="9" s="1"/>
  <c r="E24" i="2"/>
  <c r="G24" i="2"/>
  <c r="O24" i="2" s="1"/>
  <c r="C25" i="2"/>
  <c r="L24" i="2"/>
  <c r="K24" i="2"/>
  <c r="N24" i="2" l="1"/>
  <c r="Y24" i="9"/>
  <c r="M24" i="2"/>
  <c r="X24" i="9"/>
  <c r="H24" i="2"/>
  <c r="J25" i="2"/>
  <c r="P24" i="2" l="1"/>
  <c r="Z24" i="9" s="1"/>
  <c r="AA24" i="9" s="1"/>
  <c r="D25" i="2"/>
  <c r="L25" i="2"/>
  <c r="K25" i="2"/>
  <c r="N25" i="2" l="1"/>
  <c r="Y25" i="9"/>
  <c r="C26" i="2"/>
  <c r="H25" i="2"/>
  <c r="E25" i="2"/>
  <c r="M25" i="2" l="1"/>
  <c r="X25" i="9"/>
  <c r="J26" i="2"/>
  <c r="D26" i="2" s="1"/>
  <c r="P25" i="2" l="1"/>
  <c r="Z25" i="9" s="1"/>
  <c r="AA25" i="9" s="1"/>
  <c r="E26" i="2"/>
  <c r="G26" i="2"/>
  <c r="O26" i="2" s="1"/>
  <c r="C27" i="2"/>
  <c r="L26" i="2"/>
  <c r="K26" i="2"/>
  <c r="N26" i="2" l="1"/>
  <c r="Y26" i="9"/>
  <c r="M26" i="2"/>
  <c r="X26" i="9"/>
  <c r="H26" i="2"/>
  <c r="J27" i="2"/>
  <c r="P26" i="2" l="1"/>
  <c r="Z26" i="9" s="1"/>
  <c r="AA26" i="9" s="1"/>
  <c r="D27" i="2"/>
  <c r="C28" i="2" s="1"/>
  <c r="L27" i="2"/>
  <c r="K27" i="2"/>
  <c r="N27" i="2" l="1"/>
  <c r="Y27" i="9"/>
  <c r="H27" i="2"/>
  <c r="E27" i="2"/>
  <c r="M27" i="2" l="1"/>
  <c r="X27" i="9"/>
  <c r="J28" i="2"/>
  <c r="P27" i="2" l="1"/>
  <c r="Z27" i="9" s="1"/>
  <c r="AA27" i="9" s="1"/>
  <c r="D28" i="2"/>
  <c r="G28" i="2" s="1"/>
  <c r="O28" i="2" s="1"/>
  <c r="K28" i="2"/>
  <c r="L28" i="2"/>
  <c r="N28" i="2" l="1"/>
  <c r="Y28" i="9"/>
  <c r="C29" i="2"/>
  <c r="H28" i="2"/>
  <c r="E28" i="2"/>
  <c r="M28" i="2" l="1"/>
  <c r="X28" i="9"/>
  <c r="J29" i="2"/>
  <c r="P28" i="2" l="1"/>
  <c r="Z28" i="9" s="1"/>
  <c r="AA28" i="9" s="1"/>
  <c r="D29" i="2"/>
  <c r="K29" i="2"/>
  <c r="L29" i="2"/>
  <c r="N29" i="2" l="1"/>
  <c r="Y29" i="9"/>
  <c r="H29" i="2"/>
  <c r="C30" i="2"/>
  <c r="E29" i="2"/>
  <c r="M29" i="2" l="1"/>
  <c r="X29" i="9"/>
  <c r="J30" i="2"/>
  <c r="D30" i="2" s="1"/>
  <c r="G30" i="2" s="1"/>
  <c r="O30" i="2" s="1"/>
  <c r="P29" i="2" l="1"/>
  <c r="Z29" i="9" s="1"/>
  <c r="AA29" i="9" s="1"/>
  <c r="C31" i="2"/>
  <c r="H30" i="2"/>
  <c r="E30" i="2"/>
  <c r="L30" i="2"/>
  <c r="K30" i="2"/>
  <c r="N30" i="2" l="1"/>
  <c r="Y30" i="9"/>
  <c r="M30" i="2"/>
  <c r="X30" i="9"/>
  <c r="J31" i="2"/>
  <c r="D31" i="2" s="1"/>
  <c r="E31" i="2" s="1"/>
  <c r="P30" i="2" l="1"/>
  <c r="Z30" i="9" s="1"/>
  <c r="AA30" i="9" s="1"/>
  <c r="M31" i="2"/>
  <c r="X31" i="9"/>
  <c r="H31" i="2"/>
  <c r="C32" i="2"/>
  <c r="L31" i="2"/>
  <c r="K31" i="2"/>
  <c r="N31" i="2" l="1"/>
  <c r="P31" i="2" s="1"/>
  <c r="Z31" i="9" s="1"/>
  <c r="AA31" i="9" s="1"/>
  <c r="Y31" i="9"/>
  <c r="J32" i="2"/>
  <c r="D32" i="2" s="1"/>
  <c r="E32" i="2" l="1"/>
  <c r="G32" i="2"/>
  <c r="O32" i="2" s="1"/>
  <c r="C33" i="2"/>
  <c r="K32" i="2"/>
  <c r="L32" i="2"/>
  <c r="N32" i="2" l="1"/>
  <c r="Y32" i="9"/>
  <c r="M32" i="2"/>
  <c r="X32" i="9"/>
  <c r="H32" i="2"/>
  <c r="J33" i="2"/>
  <c r="D33" i="2" s="1"/>
  <c r="P32" i="2" l="1"/>
  <c r="Z32" i="9" s="1"/>
  <c r="AA32" i="9" s="1"/>
  <c r="E33" i="2"/>
  <c r="C34" i="2"/>
  <c r="H33" i="2"/>
  <c r="K33" i="2"/>
  <c r="L33" i="2"/>
  <c r="N33" i="2" l="1"/>
  <c r="Y33" i="9"/>
  <c r="M33" i="2"/>
  <c r="X33" i="9"/>
  <c r="J34" i="2"/>
  <c r="D34" i="2" s="1"/>
  <c r="G34" i="2" s="1"/>
  <c r="O34" i="2" s="1"/>
  <c r="P33" i="2" l="1"/>
  <c r="Z33" i="9" s="1"/>
  <c r="AA33" i="9" s="1"/>
  <c r="H34" i="2"/>
  <c r="C35" i="2"/>
  <c r="E34" i="2"/>
  <c r="L34" i="2"/>
  <c r="K34" i="2"/>
  <c r="N34" i="2" l="1"/>
  <c r="Y34" i="9"/>
  <c r="M34" i="2"/>
  <c r="X34" i="9"/>
  <c r="J35" i="2"/>
  <c r="D35" i="2" s="1"/>
  <c r="E35" i="2" s="1"/>
  <c r="P34" i="2" l="1"/>
  <c r="Z34" i="9" s="1"/>
  <c r="AA34" i="9" s="1"/>
  <c r="M35" i="2"/>
  <c r="X35" i="9"/>
  <c r="H35" i="2"/>
  <c r="C36" i="2"/>
  <c r="L35" i="2"/>
  <c r="K35" i="2"/>
  <c r="N35" i="2" l="1"/>
  <c r="P35" i="2" s="1"/>
  <c r="Z35" i="9" s="1"/>
  <c r="AA35" i="9" s="1"/>
  <c r="Y35" i="9"/>
  <c r="J36" i="2"/>
  <c r="L36" i="2" l="1"/>
  <c r="K36" i="2"/>
  <c r="D36" i="2"/>
  <c r="G36" i="2" s="1"/>
  <c r="O36" i="2" s="1"/>
  <c r="N36" i="2" l="1"/>
  <c r="Y36" i="9"/>
  <c r="H36" i="2"/>
  <c r="C37" i="2"/>
  <c r="E36" i="2"/>
  <c r="M36" i="2" l="1"/>
  <c r="X36" i="9"/>
  <c r="J37" i="2"/>
  <c r="D37" i="2" s="1"/>
  <c r="P36" i="2" l="1"/>
  <c r="Z36" i="9" s="1"/>
  <c r="AA36" i="9" s="1"/>
  <c r="L37" i="2"/>
  <c r="K37" i="2"/>
  <c r="E37" i="2"/>
  <c r="H37" i="2"/>
  <c r="C38" i="2"/>
  <c r="N37" i="2" l="1"/>
  <c r="Y37" i="9"/>
  <c r="M37" i="2"/>
  <c r="X37" i="9"/>
  <c r="J38" i="2"/>
  <c r="D38" i="2" s="1"/>
  <c r="P37" i="2" l="1"/>
  <c r="Z37" i="9" s="1"/>
  <c r="AA37" i="9" s="1"/>
  <c r="E38" i="2"/>
  <c r="G38" i="2"/>
  <c r="O38" i="2" s="1"/>
  <c r="C39" i="2"/>
  <c r="K38" i="2"/>
  <c r="L38" i="2"/>
  <c r="N38" i="2" l="1"/>
  <c r="Y38" i="9"/>
  <c r="M38" i="2"/>
  <c r="X38" i="9"/>
  <c r="H38" i="2"/>
  <c r="J39" i="2"/>
  <c r="D39" i="2" s="1"/>
  <c r="E39" i="2" s="1"/>
  <c r="M39" i="2" l="1"/>
  <c r="X39" i="9"/>
  <c r="P38" i="2"/>
  <c r="Z38" i="9" s="1"/>
  <c r="AA38" i="9" s="1"/>
  <c r="H39" i="2"/>
  <c r="C40" i="2"/>
  <c r="L39" i="2"/>
  <c r="K39" i="2"/>
  <c r="N39" i="2" l="1"/>
  <c r="P39" i="2" s="1"/>
  <c r="Z39" i="9" s="1"/>
  <c r="AA39" i="9" s="1"/>
  <c r="Y39" i="9"/>
  <c r="J40" i="2"/>
  <c r="D40" i="2" s="1"/>
  <c r="E40" i="2" l="1"/>
  <c r="G40" i="2"/>
  <c r="O40" i="2" s="1"/>
  <c r="C41" i="2"/>
  <c r="L40" i="2"/>
  <c r="K40" i="2"/>
  <c r="N40" i="2" l="1"/>
  <c r="Y40" i="9"/>
  <c r="M40" i="2"/>
  <c r="X40" i="9"/>
  <c r="H40" i="2"/>
  <c r="J41" i="2"/>
  <c r="D41" i="2" s="1"/>
  <c r="E41" i="2" s="1"/>
  <c r="M41" i="2" l="1"/>
  <c r="X41" i="9"/>
  <c r="P40" i="2"/>
  <c r="Z40" i="9" s="1"/>
  <c r="AA40" i="9" s="1"/>
  <c r="H41" i="2"/>
  <c r="C42" i="2"/>
  <c r="L41" i="2"/>
  <c r="K41" i="2"/>
  <c r="N41" i="2" l="1"/>
  <c r="P41" i="2" s="1"/>
  <c r="Z41" i="9" s="1"/>
  <c r="AA41" i="9" s="1"/>
  <c r="Y41" i="9"/>
  <c r="J42" i="2"/>
  <c r="D42" i="2" s="1"/>
  <c r="E42" i="2" l="1"/>
  <c r="G42" i="2"/>
  <c r="O42" i="2" s="1"/>
  <c r="C43" i="2"/>
  <c r="L42" i="2"/>
  <c r="K42" i="2"/>
  <c r="N42" i="2" l="1"/>
  <c r="Y42" i="9"/>
  <c r="M42" i="2"/>
  <c r="X42" i="9"/>
  <c r="H42" i="2"/>
  <c r="J43" i="2"/>
  <c r="D43" i="2" s="1"/>
  <c r="E43" i="2" s="1"/>
  <c r="M43" i="2" l="1"/>
  <c r="X43" i="9"/>
  <c r="P42" i="2"/>
  <c r="Z42" i="9" s="1"/>
  <c r="AA42" i="9" s="1"/>
  <c r="H43" i="2"/>
  <c r="C44" i="2"/>
  <c r="L43" i="2"/>
  <c r="K43" i="2"/>
  <c r="N43" i="2" l="1"/>
  <c r="P43" i="2" s="1"/>
  <c r="Z43" i="9" s="1"/>
  <c r="AA43" i="9" s="1"/>
  <c r="Y43" i="9"/>
  <c r="J44" i="2"/>
  <c r="D44" i="2" l="1"/>
  <c r="G44" i="2" s="1"/>
  <c r="O44" i="2" s="1"/>
  <c r="L44" i="2"/>
  <c r="K44" i="2"/>
  <c r="N44" i="2" l="1"/>
  <c r="Y44" i="9"/>
  <c r="C45" i="2"/>
  <c r="H44" i="2"/>
  <c r="E44" i="2"/>
  <c r="M44" i="2" l="1"/>
  <c r="X44" i="9"/>
  <c r="J45" i="2"/>
  <c r="D45" i="2" s="1"/>
  <c r="P44" i="2" l="1"/>
  <c r="Z44" i="9" s="1"/>
  <c r="AA44" i="9" s="1"/>
  <c r="C46" i="2"/>
  <c r="H45" i="2"/>
  <c r="E45" i="2"/>
  <c r="K45" i="2"/>
  <c r="L45" i="2"/>
  <c r="N45" i="2" l="1"/>
  <c r="Y45" i="9"/>
  <c r="M45" i="2"/>
  <c r="X45" i="9"/>
  <c r="J46" i="2"/>
  <c r="K46" i="2" s="1"/>
  <c r="N46" i="2" l="1"/>
  <c r="Y46" i="9"/>
  <c r="P45" i="2"/>
  <c r="Z45" i="9" s="1"/>
  <c r="AA45" i="9" s="1"/>
  <c r="L46" i="2"/>
  <c r="D46" i="2"/>
  <c r="G46" i="2" s="1"/>
  <c r="O46" i="2" s="1"/>
  <c r="H46" i="2" l="1"/>
  <c r="E46" i="2"/>
  <c r="C47" i="2"/>
  <c r="M46" i="2" l="1"/>
  <c r="X46" i="9"/>
  <c r="J47" i="2"/>
  <c r="D47" i="2" s="1"/>
  <c r="E47" i="2" s="1"/>
  <c r="P46" i="2" l="1"/>
  <c r="Z46" i="9" s="1"/>
  <c r="AA46" i="9" s="1"/>
  <c r="M47" i="2"/>
  <c r="X47" i="9"/>
  <c r="H47" i="2"/>
  <c r="L47" i="2"/>
  <c r="K47" i="2"/>
  <c r="C48" i="2"/>
  <c r="J48" i="2" s="1"/>
  <c r="D48" i="2" s="1"/>
  <c r="N47" i="2" l="1"/>
  <c r="P47" i="2" s="1"/>
  <c r="Z47" i="9" s="1"/>
  <c r="AA47" i="9" s="1"/>
  <c r="Y47" i="9"/>
  <c r="E48" i="2"/>
  <c r="G48" i="2"/>
  <c r="O48" i="2" s="1"/>
  <c r="C49" i="2"/>
  <c r="K48" i="2"/>
  <c r="L48" i="2"/>
  <c r="N48" i="2" l="1"/>
  <c r="Y48" i="9"/>
  <c r="M48" i="2"/>
  <c r="X48" i="9"/>
  <c r="H48" i="2"/>
  <c r="J49" i="2"/>
  <c r="D49" i="2" s="1"/>
  <c r="E49" i="2" s="1"/>
  <c r="M49" i="2" l="1"/>
  <c r="X49" i="9"/>
  <c r="P48" i="2"/>
  <c r="Z48" i="9" s="1"/>
  <c r="AA48" i="9" s="1"/>
  <c r="H49" i="2"/>
  <c r="C50" i="2"/>
  <c r="K49" i="2"/>
  <c r="L49" i="2"/>
  <c r="N49" i="2" l="1"/>
  <c r="P49" i="2" s="1"/>
  <c r="Z49" i="9" s="1"/>
  <c r="AA49" i="9" s="1"/>
  <c r="Y49" i="9"/>
  <c r="J50" i="2"/>
  <c r="D50" i="2" s="1"/>
  <c r="G50" i="2" s="1"/>
  <c r="O50" i="2" s="1"/>
  <c r="K50" i="2" l="1"/>
  <c r="L50" i="2"/>
  <c r="E50" i="2"/>
  <c r="C51" i="2"/>
  <c r="H50" i="2"/>
  <c r="N50" i="2" l="1"/>
  <c r="Y50" i="9"/>
  <c r="M50" i="2"/>
  <c r="X50" i="9"/>
  <c r="J51" i="2"/>
  <c r="P50" i="2" l="1"/>
  <c r="Z50" i="9" s="1"/>
  <c r="AA50" i="9" s="1"/>
  <c r="K51" i="2"/>
  <c r="L51" i="2"/>
  <c r="D51" i="2"/>
  <c r="N51" i="2" l="1"/>
  <c r="Y51" i="9"/>
  <c r="C52" i="2"/>
  <c r="H51" i="2"/>
  <c r="E51" i="2"/>
  <c r="M51" i="2" l="1"/>
  <c r="X51" i="9"/>
  <c r="J52" i="2"/>
  <c r="D52" i="2" s="1"/>
  <c r="G52" i="2" s="1"/>
  <c r="O52" i="2" s="1"/>
  <c r="R43" i="2" l="1"/>
  <c r="P51" i="2"/>
  <c r="Z51" i="9" s="1"/>
  <c r="AA51" i="9" s="1"/>
  <c r="H52" i="2"/>
  <c r="K52" i="2"/>
  <c r="Y52" i="9" s="1"/>
  <c r="L52" i="2"/>
  <c r="R52" i="2" s="1"/>
  <c r="E52" i="2"/>
  <c r="M52" i="2" l="1"/>
  <c r="X52" i="9"/>
  <c r="R37" i="2"/>
  <c r="R40" i="2" s="1"/>
  <c r="N52" i="2"/>
  <c r="R46" i="2" s="1"/>
  <c r="R28" i="2"/>
  <c r="R49" i="2" l="1"/>
  <c r="D4" i="10" s="1"/>
  <c r="R34" i="2"/>
  <c r="D4" i="7"/>
  <c r="R31" i="2"/>
  <c r="P52" i="2"/>
  <c r="Z52" i="9" l="1"/>
  <c r="AA52" i="9" s="1"/>
  <c r="R55" i="2"/>
  <c r="D4" i="8" s="1"/>
  <c r="BB3" i="8"/>
  <c r="BC3" i="8"/>
  <c r="AZ3" i="8"/>
  <c r="BA3" i="8"/>
  <c r="AX3" i="8"/>
  <c r="AY3" i="8"/>
  <c r="AV3" i="8"/>
  <c r="AW3" i="8"/>
  <c r="AT3" i="8"/>
  <c r="AU3" i="8"/>
  <c r="AR3" i="8"/>
  <c r="AS3" i="8"/>
  <c r="AP3" i="8"/>
  <c r="AQ3" i="8"/>
  <c r="AN3" i="8"/>
  <c r="AO3" i="8"/>
  <c r="AL3" i="8"/>
  <c r="AM3" i="8"/>
  <c r="AJ3" i="8"/>
  <c r="AK3" i="8"/>
  <c r="AH3" i="8"/>
  <c r="AI3" i="8"/>
  <c r="AF3" i="8"/>
  <c r="AG3" i="8"/>
  <c r="AD3" i="8"/>
  <c r="AE3" i="8"/>
  <c r="AB3" i="8"/>
  <c r="AC3" i="8"/>
  <c r="Z3" i="8"/>
  <c r="AA3" i="8"/>
  <c r="X3" i="8"/>
  <c r="Y3" i="8"/>
  <c r="V3" i="8"/>
  <c r="W3" i="8"/>
  <c r="T3" i="8"/>
  <c r="U3" i="8"/>
  <c r="R3" i="8"/>
  <c r="S3" i="8"/>
  <c r="P3" i="8"/>
  <c r="Q3" i="8"/>
  <c r="O3" i="8"/>
  <c r="N3" i="8"/>
  <c r="M3" i="8"/>
  <c r="H3" i="8"/>
  <c r="K3" i="8"/>
  <c r="L3" i="8"/>
  <c r="J3" i="8"/>
  <c r="I3" i="8"/>
  <c r="G3" i="8"/>
  <c r="D4" i="6" l="1"/>
</calcChain>
</file>

<file path=xl/sharedStrings.xml><?xml version="1.0" encoding="utf-8"?>
<sst xmlns="http://schemas.openxmlformats.org/spreadsheetml/2006/main" count="108" uniqueCount="76">
  <si>
    <t>t</t>
  </si>
  <si>
    <t>unidade de tempo para nova encomenda (mês, semana…)</t>
  </si>
  <si>
    <t>S</t>
  </si>
  <si>
    <t>quantidade máxima de encomenda</t>
  </si>
  <si>
    <t>q</t>
  </si>
  <si>
    <t>s</t>
  </si>
  <si>
    <t>stock máximo para que seja efetuada uma encomenda (se no momento t o stock em mão for superior a s, não é efetuada encomenda)</t>
  </si>
  <si>
    <t>ProLab</t>
  </si>
  <si>
    <t>procura média 2018</t>
  </si>
  <si>
    <t>aumento procura anual médio</t>
  </si>
  <si>
    <t>coeficiente de variação (desvio padrão / média)</t>
  </si>
  <si>
    <t>Para 2019</t>
  </si>
  <si>
    <t>custo fabrico</t>
  </si>
  <si>
    <t>preço venda</t>
  </si>
  <si>
    <t>preço reagente</t>
  </si>
  <si>
    <t>tx juro anual posse inventário</t>
  </si>
  <si>
    <t>custo quebra</t>
  </si>
  <si>
    <t>prazo entrega</t>
  </si>
  <si>
    <t>2 semanas</t>
  </si>
  <si>
    <t>d1</t>
  </si>
  <si>
    <t>Em caso de quebra de inventário a empresa incorre a perda de vendas</t>
  </si>
  <si>
    <t>Semana</t>
  </si>
  <si>
    <t>Quebras</t>
  </si>
  <si>
    <t>Quantidade</t>
  </si>
  <si>
    <t>Valor (€)</t>
  </si>
  <si>
    <t>Preço de Venda (€)</t>
  </si>
  <si>
    <t>Custo Fabrico (€)</t>
  </si>
  <si>
    <t>c2</t>
  </si>
  <si>
    <t>Stock Inicial</t>
  </si>
  <si>
    <t>Stock Final</t>
  </si>
  <si>
    <t xml:space="preserve">Probabilidade </t>
  </si>
  <si>
    <t>Tempo de Espera</t>
  </si>
  <si>
    <t>1 semana</t>
  </si>
  <si>
    <t>Encomenda</t>
  </si>
  <si>
    <t>Quantidade encomendada</t>
  </si>
  <si>
    <t>Custo de encomenda</t>
  </si>
  <si>
    <t>Receita de vendas</t>
  </si>
  <si>
    <t>Preço fixo de encomenda (€)</t>
  </si>
  <si>
    <t>Assumimos que a procura ao longo da semana é uniformemente distribuída</t>
  </si>
  <si>
    <t>Stock médio semanal</t>
  </si>
  <si>
    <t>Stock médio da semana</t>
  </si>
  <si>
    <t>Custo de posse médio semanal (€)</t>
  </si>
  <si>
    <t>Custo médio semanal de encomenda (€)</t>
  </si>
  <si>
    <t>Custo de quebra</t>
  </si>
  <si>
    <t>Custo de quebra semanal (€)</t>
  </si>
  <si>
    <t>Custo total (€)</t>
  </si>
  <si>
    <t>Custo de posse</t>
  </si>
  <si>
    <t>Lucro total (€)</t>
  </si>
  <si>
    <t>Procura</t>
  </si>
  <si>
    <t xml:space="preserve">Vendas </t>
  </si>
  <si>
    <t>Procura não contemplada</t>
  </si>
  <si>
    <t>quantidade de encomenda</t>
  </si>
  <si>
    <t>Lucro</t>
  </si>
  <si>
    <t>TOTAL</t>
  </si>
  <si>
    <t>Receita total (€)</t>
  </si>
  <si>
    <t>Média de vendas de 2018</t>
  </si>
  <si>
    <t>Média de vendas de 2019</t>
  </si>
  <si>
    <t>Simulação de vendas 2019</t>
  </si>
  <si>
    <t>caixas/semana</t>
  </si>
  <si>
    <t>primeiras 16 semanas do ano</t>
  </si>
  <si>
    <t>entre semana 17 e 28</t>
  </si>
  <si>
    <t>entre semana 29 e 50</t>
  </si>
  <si>
    <t>Procura 2019</t>
  </si>
  <si>
    <t>caixa</t>
  </si>
  <si>
    <t>lote</t>
  </si>
  <si>
    <t>€/caixa</t>
  </si>
  <si>
    <t>semana</t>
  </si>
  <si>
    <t>semanas</t>
  </si>
  <si>
    <t xml:space="preserve">Procura média semanal </t>
  </si>
  <si>
    <t>Taxa de Serviço</t>
  </si>
  <si>
    <t>Taxa de juro semanal</t>
  </si>
  <si>
    <t>r</t>
  </si>
  <si>
    <t>c3</t>
  </si>
  <si>
    <t>c1</t>
  </si>
  <si>
    <t>Lucro acumulado</t>
  </si>
  <si>
    <t>Custos médios semanais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</si>
</sst>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0.000"/>
    <numFmt numFmtId="168" formatCode="0.0"/>
    <numFmt numFmtId="169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10" fontId="0" fillId="0" borderId="0" xfId="0" applyNumberFormat="1"/>
    <xf numFmtId="165" fontId="0" fillId="0" borderId="0" xfId="0" applyNumberFormat="1"/>
    <xf numFmtId="164" fontId="0" fillId="0" borderId="0" xfId="0" applyNumberFormat="1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1" xfId="1" applyFont="1" applyBorder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2" xfId="0" applyBorder="1" applyAlignment="1">
      <alignment horizontal="center"/>
    </xf>
    <xf numFmtId="0" fontId="2" fillId="0" borderId="1" xfId="0" applyFont="1" applyBorder="1"/>
    <xf numFmtId="0" fontId="0" fillId="0" borderId="0" xfId="0" applyBorder="1"/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166" fontId="0" fillId="7" borderId="1" xfId="1" applyFont="1" applyFill="1" applyBorder="1" applyAlignment="1">
      <alignment horizontal="center" vertical="center"/>
    </xf>
    <xf numFmtId="0" fontId="0" fillId="8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2" fillId="0" borderId="6" xfId="0" applyFont="1" applyBorder="1" applyAlignment="1">
      <alignment horizontal="center" vertical="center" wrapText="1"/>
    </xf>
    <xf numFmtId="166" fontId="0" fillId="7" borderId="2" xfId="1" applyFont="1" applyFill="1" applyBorder="1" applyAlignment="1">
      <alignment horizontal="center" vertical="center"/>
    </xf>
    <xf numFmtId="166" fontId="0" fillId="0" borderId="7" xfId="1" applyFont="1" applyFill="1" applyBorder="1" applyAlignment="1">
      <alignment horizontal="center" vertical="center"/>
    </xf>
    <xf numFmtId="1" fontId="0" fillId="0" borderId="1" xfId="2" applyNumberFormat="1" applyFont="1" applyBorder="1"/>
    <xf numFmtId="168" fontId="0" fillId="0" borderId="1" xfId="0" applyNumberFormat="1" applyBorder="1"/>
    <xf numFmtId="168" fontId="0" fillId="0" borderId="1" xfId="0" applyNumberFormat="1" applyFill="1" applyBorder="1"/>
    <xf numFmtId="1" fontId="0" fillId="3" borderId="1" xfId="0" applyNumberFormat="1" applyFill="1" applyBorder="1"/>
    <xf numFmtId="1" fontId="0" fillId="0" borderId="1" xfId="0" applyNumberFormat="1" applyBorder="1"/>
    <xf numFmtId="1" fontId="0" fillId="0" borderId="1" xfId="0" applyNumberFormat="1" applyFill="1" applyBorder="1"/>
    <xf numFmtId="166" fontId="0" fillId="0" borderId="1" xfId="1" applyFont="1" applyFill="1" applyBorder="1"/>
    <xf numFmtId="1" fontId="0" fillId="0" borderId="1" xfId="2" applyNumberFormat="1" applyFont="1" applyFill="1" applyBorder="1"/>
    <xf numFmtId="168" fontId="0" fillId="4" borderId="1" xfId="0" applyNumberForma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168" fontId="0" fillId="5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0" fillId="0" borderId="0" xfId="0" applyNumberFormat="1" applyBorder="1"/>
    <xf numFmtId="168" fontId="0" fillId="7" borderId="1" xfId="0" applyNumberFormat="1" applyFill="1" applyBorder="1" applyAlignment="1">
      <alignment horizontal="center" vertical="center"/>
    </xf>
    <xf numFmtId="169" fontId="0" fillId="7" borderId="1" xfId="0" applyNumberFormat="1" applyFill="1" applyBorder="1" applyAlignment="1">
      <alignment horizontal="center" vertical="center"/>
    </xf>
    <xf numFmtId="168" fontId="0" fillId="7" borderId="1" xfId="2" applyNumberFormat="1" applyFont="1" applyFill="1" applyBorder="1" applyAlignment="1">
      <alignment horizontal="center" vertical="center"/>
    </xf>
    <xf numFmtId="2" fontId="0" fillId="0" borderId="0" xfId="0" applyNumberFormat="1"/>
    <xf numFmtId="167" fontId="0" fillId="0" borderId="0" xfId="0" applyNumberFormat="1"/>
    <xf numFmtId="2" fontId="0" fillId="0" borderId="0" xfId="0" applyNumberFormat="1" applyBorder="1"/>
    <xf numFmtId="0" fontId="0" fillId="0" borderId="0" xfId="0" applyBorder="1" applyAlignment="1">
      <alignment horizontal="center" vertical="center"/>
    </xf>
    <xf numFmtId="1" fontId="0" fillId="0" borderId="0" xfId="0" applyNumberFormat="1"/>
    <xf numFmtId="1" fontId="0" fillId="0" borderId="0" xfId="0" applyNumberFormat="1" applyBorder="1"/>
    <xf numFmtId="1" fontId="0" fillId="0" borderId="0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168" fontId="0" fillId="0" borderId="0" xfId="0" applyNumberFormat="1"/>
  </cellXfs>
  <cellStyles count="3">
    <cellStyle name="Comma" xfId="2" builtinId="3"/>
    <cellStyle name="Currency" xfId="1" builtinId="4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</a:t>
            </a:r>
            <a:r>
              <a:rPr lang="en-US" baseline="0"/>
              <a:t> médio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Gráficos!$X$3:$X$52</c:f>
              <c:numCache>
                <c:formatCode>0</c:formatCode>
                <c:ptCount val="50"/>
                <c:pt idx="0">
                  <c:v>2289.2545695158628</c:v>
                </c:pt>
                <c:pt idx="1">
                  <c:v>1871.1451920650788</c:v>
                </c:pt>
                <c:pt idx="2">
                  <c:v>1448.2468542535125</c:v>
                </c:pt>
                <c:pt idx="3">
                  <c:v>1861.1534051373997</c:v>
                </c:pt>
                <c:pt idx="4">
                  <c:v>1422.6998736436617</c:v>
                </c:pt>
                <c:pt idx="5">
                  <c:v>1826.3998976002754</c:v>
                </c:pt>
                <c:pt idx="6">
                  <c:v>1405.2406958089919</c:v>
                </c:pt>
                <c:pt idx="7">
                  <c:v>1871.9632066922197</c:v>
                </c:pt>
                <c:pt idx="8">
                  <c:v>1443.4133416843085</c:v>
                </c:pt>
                <c:pt idx="9">
                  <c:v>1846.2903659488193</c:v>
                </c:pt>
                <c:pt idx="10">
                  <c:v>1411.4485003147265</c:v>
                </c:pt>
                <c:pt idx="11">
                  <c:v>962.8449222106542</c:v>
                </c:pt>
                <c:pt idx="12">
                  <c:v>1386.6127284953982</c:v>
                </c:pt>
                <c:pt idx="13">
                  <c:v>941.68994100315092</c:v>
                </c:pt>
                <c:pt idx="14">
                  <c:v>2269.8575434588765</c:v>
                </c:pt>
                <c:pt idx="15">
                  <c:v>3638.1503912283447</c:v>
                </c:pt>
                <c:pt idx="16">
                  <c:v>3120.0995955013859</c:v>
                </c:pt>
                <c:pt idx="17">
                  <c:v>2525.6571661246107</c:v>
                </c:pt>
                <c:pt idx="18">
                  <c:v>1953.4256694278847</c:v>
                </c:pt>
                <c:pt idx="19">
                  <c:v>1635.2419785921184</c:v>
                </c:pt>
                <c:pt idx="20">
                  <c:v>1062.5049749004099</c:v>
                </c:pt>
                <c:pt idx="21">
                  <c:v>1627.5791046314932</c:v>
                </c:pt>
                <c:pt idx="22">
                  <c:v>1060.3096309769489</c:v>
                </c:pt>
                <c:pt idx="23">
                  <c:v>527.41698745915846</c:v>
                </c:pt>
                <c:pt idx="24">
                  <c:v>1150.6168632826257</c:v>
                </c:pt>
                <c:pt idx="25">
                  <c:v>2809.2704338803569</c:v>
                </c:pt>
                <c:pt idx="26">
                  <c:v>2211.9466781122674</c:v>
                </c:pt>
                <c:pt idx="27">
                  <c:v>1644.486408679044</c:v>
                </c:pt>
                <c:pt idx="28">
                  <c:v>1205.8663184557802</c:v>
                </c:pt>
                <c:pt idx="29">
                  <c:v>861.93944289675142</c:v>
                </c:pt>
                <c:pt idx="30">
                  <c:v>1637.1809206995472</c:v>
                </c:pt>
                <c:pt idx="31">
                  <c:v>3106.6748155936903</c:v>
                </c:pt>
                <c:pt idx="32">
                  <c:v>2767.0348868090819</c:v>
                </c:pt>
                <c:pt idx="33">
                  <c:v>2411.2375405686957</c:v>
                </c:pt>
                <c:pt idx="34">
                  <c:v>2055.8588634801999</c:v>
                </c:pt>
                <c:pt idx="35">
                  <c:v>1722.2351676037865</c:v>
                </c:pt>
                <c:pt idx="36">
                  <c:v>1654.2747752739267</c:v>
                </c:pt>
                <c:pt idx="37">
                  <c:v>2253.7183067744227</c:v>
                </c:pt>
                <c:pt idx="38">
                  <c:v>1905.8531843846172</c:v>
                </c:pt>
                <c:pt idx="39">
                  <c:v>1970.7206098831678</c:v>
                </c:pt>
                <c:pt idx="40">
                  <c:v>1639.6206449576653</c:v>
                </c:pt>
                <c:pt idx="41">
                  <c:v>1995.1595337752362</c:v>
                </c:pt>
                <c:pt idx="42">
                  <c:v>1652.7408713352811</c:v>
                </c:pt>
                <c:pt idx="43">
                  <c:v>1974.5406632971335</c:v>
                </c:pt>
                <c:pt idx="44">
                  <c:v>1631.3148629367538</c:v>
                </c:pt>
                <c:pt idx="45">
                  <c:v>1283.5202348041478</c:v>
                </c:pt>
                <c:pt idx="46">
                  <c:v>1616.4351896091209</c:v>
                </c:pt>
                <c:pt idx="47">
                  <c:v>2630.7618620841013</c:v>
                </c:pt>
                <c:pt idx="48">
                  <c:v>2287.634532960808</c:v>
                </c:pt>
                <c:pt idx="49">
                  <c:v>2018.3975281595435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7E-804C-87EE-AA5E0F2DC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9849375"/>
        <c:axId val="1279901839"/>
      </c:lineChart>
      <c:catAx>
        <c:axId val="12798493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901839"/>
        <c:crosses val="autoZero"/>
        <c:auto val="1"/>
        <c:lblAlgn val="ctr"/>
        <c:lblOffset val="100"/>
        <c:noMultiLvlLbl val="0"/>
      </c:catAx>
      <c:valAx>
        <c:axId val="127990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849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Lucro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Gráficos!$Z$3:$Z$52</c:f>
              <c:numCache>
                <c:formatCode>General</c:formatCode>
                <c:ptCount val="50"/>
                <c:pt idx="0">
                  <c:v>49783.61627874308</c:v>
                </c:pt>
                <c:pt idx="1">
                  <c:v>48059.012549023151</c:v>
                </c:pt>
                <c:pt idx="2">
                  <c:v>51102.611161743065</c:v>
                </c:pt>
                <c:pt idx="3">
                  <c:v>48162.656890443635</c:v>
                </c:pt>
                <c:pt idx="4">
                  <c:v>54747.566051620022</c:v>
                </c:pt>
                <c:pt idx="5">
                  <c:v>49250.675026102479</c:v>
                </c:pt>
                <c:pt idx="6">
                  <c:v>49531.464667452768</c:v>
                </c:pt>
                <c:pt idx="7">
                  <c:v>48743.084992491764</c:v>
                </c:pt>
                <c:pt idx="8">
                  <c:v>51776.639940508263</c:v>
                </c:pt>
                <c:pt idx="9">
                  <c:v>50392.325725961695</c:v>
                </c:pt>
                <c:pt idx="10">
                  <c:v>51662.378835994699</c:v>
                </c:pt>
                <c:pt idx="11">
                  <c:v>54076.785150451709</c:v>
                </c:pt>
                <c:pt idx="12">
                  <c:v>51284.210972439651</c:v>
                </c:pt>
                <c:pt idx="13">
                  <c:v>53591.431272476373</c:v>
                </c:pt>
                <c:pt idx="14">
                  <c:v>49670.908451151634</c:v>
                </c:pt>
                <c:pt idx="15">
                  <c:v>48279.204142624651</c:v>
                </c:pt>
                <c:pt idx="16">
                  <c:v>73133.422837578168</c:v>
                </c:pt>
                <c:pt idx="17">
                  <c:v>66193.793291825481</c:v>
                </c:pt>
                <c:pt idx="18">
                  <c:v>68306.802130430049</c:v>
                </c:pt>
                <c:pt idx="19">
                  <c:v>67634.136563894033</c:v>
                </c:pt>
                <c:pt idx="20">
                  <c:v>67757.317638207212</c:v>
                </c:pt>
                <c:pt idx="21">
                  <c:v>71345.261140512448</c:v>
                </c:pt>
                <c:pt idx="22">
                  <c:v>62738.244602795341</c:v>
                </c:pt>
                <c:pt idx="23">
                  <c:v>63570.091942309955</c:v>
                </c:pt>
                <c:pt idx="24">
                  <c:v>67566.417438692399</c:v>
                </c:pt>
                <c:pt idx="25">
                  <c:v>70763.913396171993</c:v>
                </c:pt>
                <c:pt idx="26">
                  <c:v>70424.622195788717</c:v>
                </c:pt>
                <c:pt idx="27">
                  <c:v>63199.863374690984</c:v>
                </c:pt>
                <c:pt idx="28">
                  <c:v>39937.605900770068</c:v>
                </c:pt>
                <c:pt idx="29">
                  <c:v>40811.552144492533</c:v>
                </c:pt>
                <c:pt idx="30">
                  <c:v>41284.416606032704</c:v>
                </c:pt>
                <c:pt idx="31">
                  <c:v>39206.146629897827</c:v>
                </c:pt>
                <c:pt idx="32">
                  <c:v>39769.993686970251</c:v>
                </c:pt>
                <c:pt idx="33">
                  <c:v>42484.355722095243</c:v>
                </c:pt>
                <c:pt idx="34">
                  <c:v>39976.74113259458</c:v>
                </c:pt>
                <c:pt idx="35">
                  <c:v>37560.809256316446</c:v>
                </c:pt>
                <c:pt idx="36">
                  <c:v>42120.033210660658</c:v>
                </c:pt>
                <c:pt idx="37">
                  <c:v>37293.64084158792</c:v>
                </c:pt>
                <c:pt idx="38">
                  <c:v>43497.053647784713</c:v>
                </c:pt>
                <c:pt idx="39">
                  <c:v>36634.937877692399</c:v>
                </c:pt>
                <c:pt idx="40">
                  <c:v>40369.386282336949</c:v>
                </c:pt>
                <c:pt idx="41">
                  <c:v>37244.398173435067</c:v>
                </c:pt>
                <c:pt idx="42">
                  <c:v>42460.187837146419</c:v>
                </c:pt>
                <c:pt idx="43">
                  <c:v>38008.895455017111</c:v>
                </c:pt>
                <c:pt idx="44">
                  <c:v>41907.567044140938</c:v>
                </c:pt>
                <c:pt idx="45">
                  <c:v>39403.934945460423</c:v>
                </c:pt>
                <c:pt idx="46">
                  <c:v>44415.832988248942</c:v>
                </c:pt>
                <c:pt idx="47">
                  <c:v>42224.53582532474</c:v>
                </c:pt>
                <c:pt idx="48">
                  <c:v>37101.27592160627</c:v>
                </c:pt>
                <c:pt idx="49">
                  <c:v>37633.577429853896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37-1844-BE99-70CBAA9CF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781839"/>
        <c:axId val="1303673535"/>
      </c:lineChart>
      <c:catAx>
        <c:axId val="13007818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673535"/>
        <c:crosses val="autoZero"/>
        <c:auto val="1"/>
        <c:lblAlgn val="ctr"/>
        <c:lblOffset val="100"/>
        <c:noMultiLvlLbl val="0"/>
      </c:catAx>
      <c:valAx>
        <c:axId val="130367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78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Lucro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6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Gráficos!$AA$3:$AA$52</c:f>
              <c:numCache>
                <c:formatCode>General</c:formatCode>
                <c:ptCount val="50"/>
                <c:pt idx="0">
                  <c:v>49783.61627874308</c:v>
                </c:pt>
                <c:pt idx="1">
                  <c:v>97842.628827766224</c:v>
                </c:pt>
                <c:pt idx="2">
                  <c:v>148945.23998950928</c:v>
                </c:pt>
                <c:pt idx="3">
                  <c:v>197107.89687995292</c:v>
                </c:pt>
                <c:pt idx="4">
                  <c:v>251855.46293157295</c:v>
                </c:pt>
                <c:pt idx="5">
                  <c:v>301106.13795767544</c:v>
                </c:pt>
                <c:pt idx="6">
                  <c:v>350637.60262512823</c:v>
                </c:pt>
                <c:pt idx="7">
                  <c:v>399380.68761761999</c:v>
                </c:pt>
                <c:pt idx="8">
                  <c:v>451157.32755812828</c:v>
                </c:pt>
                <c:pt idx="9">
                  <c:v>501549.65328408999</c:v>
                </c:pt>
                <c:pt idx="10">
                  <c:v>553212.03212008474</c:v>
                </c:pt>
                <c:pt idx="11">
                  <c:v>607288.81727053644</c:v>
                </c:pt>
                <c:pt idx="12">
                  <c:v>658573.02824297606</c:v>
                </c:pt>
                <c:pt idx="13">
                  <c:v>712164.45951545238</c:v>
                </c:pt>
                <c:pt idx="14">
                  <c:v>761835.36796660407</c:v>
                </c:pt>
                <c:pt idx="15">
                  <c:v>810114.5721092287</c:v>
                </c:pt>
                <c:pt idx="16">
                  <c:v>883247.99494680692</c:v>
                </c:pt>
                <c:pt idx="17">
                  <c:v>949441.78823863238</c:v>
                </c:pt>
                <c:pt idx="18">
                  <c:v>1017748.5903690624</c:v>
                </c:pt>
                <c:pt idx="19">
                  <c:v>1085382.7269329564</c:v>
                </c:pt>
                <c:pt idx="20">
                  <c:v>1153140.0445711636</c:v>
                </c:pt>
                <c:pt idx="21">
                  <c:v>1224485.3057116761</c:v>
                </c:pt>
                <c:pt idx="22">
                  <c:v>1287223.5503144716</c:v>
                </c:pt>
                <c:pt idx="23">
                  <c:v>1350793.6422567815</c:v>
                </c:pt>
                <c:pt idx="24">
                  <c:v>1418360.0596954739</c:v>
                </c:pt>
                <c:pt idx="25">
                  <c:v>1489123.9730916459</c:v>
                </c:pt>
                <c:pt idx="26">
                  <c:v>1559548.5952874345</c:v>
                </c:pt>
                <c:pt idx="27">
                  <c:v>1622748.4586621255</c:v>
                </c:pt>
                <c:pt idx="28">
                  <c:v>1662686.0645628956</c:v>
                </c:pt>
                <c:pt idx="29">
                  <c:v>1703497.6167073881</c:v>
                </c:pt>
                <c:pt idx="30">
                  <c:v>1744782.0333134208</c:v>
                </c:pt>
                <c:pt idx="31">
                  <c:v>1783988.1799433187</c:v>
                </c:pt>
                <c:pt idx="32">
                  <c:v>1823758.173630289</c:v>
                </c:pt>
                <c:pt idx="33">
                  <c:v>1866242.5293523844</c:v>
                </c:pt>
                <c:pt idx="34">
                  <c:v>1906219.270484979</c:v>
                </c:pt>
                <c:pt idx="35">
                  <c:v>1943780.0797412954</c:v>
                </c:pt>
                <c:pt idx="36">
                  <c:v>1985900.112951956</c:v>
                </c:pt>
                <c:pt idx="37">
                  <c:v>2023193.7537935439</c:v>
                </c:pt>
                <c:pt idx="38">
                  <c:v>2066690.8074413287</c:v>
                </c:pt>
                <c:pt idx="39">
                  <c:v>2103325.7453190209</c:v>
                </c:pt>
                <c:pt idx="40">
                  <c:v>2143695.1316013578</c:v>
                </c:pt>
                <c:pt idx="41">
                  <c:v>2180939.529774793</c:v>
                </c:pt>
                <c:pt idx="42">
                  <c:v>2223399.7176119392</c:v>
                </c:pt>
                <c:pt idx="43">
                  <c:v>2261408.6130669564</c:v>
                </c:pt>
                <c:pt idx="44">
                  <c:v>2303316.1801110972</c:v>
                </c:pt>
                <c:pt idx="45">
                  <c:v>2342720.1150565576</c:v>
                </c:pt>
                <c:pt idx="46">
                  <c:v>2387135.9480448067</c:v>
                </c:pt>
                <c:pt idx="47">
                  <c:v>2429360.4838701314</c:v>
                </c:pt>
                <c:pt idx="48">
                  <c:v>2466461.7597917379</c:v>
                </c:pt>
                <c:pt idx="49">
                  <c:v>2504095.3372215917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3-AC4A-BB03-A9786D8F6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7753759"/>
        <c:axId val="1283039311"/>
      </c:lineChart>
      <c:catAx>
        <c:axId val="12777537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039311"/>
        <c:crosses val="autoZero"/>
        <c:auto val="1"/>
        <c:lblAlgn val="ctr"/>
        <c:lblOffset val="100"/>
        <c:noMultiLvlLbl val="0"/>
      </c:catAx>
      <c:valAx>
        <c:axId val="128303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753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Quebras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3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Gráficos!$Y$3:$Y$52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E3-A142-8567-CAADAC90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6230303"/>
        <c:axId val="1229937743"/>
      </c:lineChart>
      <c:catAx>
        <c:axId val="1306230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37743"/>
        <c:crosses val="autoZero"/>
        <c:auto val="1"/>
        <c:lblAlgn val="ctr"/>
        <c:lblOffset val="100"/>
        <c:noMultiLvlLbl val="0"/>
      </c:catAx>
      <c:valAx>
        <c:axId val="122993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23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101600</xdr:rowOff>
        </xdr:from>
        <xdr:to>
          <xdr:col>3</xdr:col>
          <xdr:colOff>685800</xdr:colOff>
          <xdr:row>12</xdr:row>
          <xdr:rowOff>139700</xdr:rowOff>
        </xdr:to>
        <xdr:sp macro="" textlink="">
          <xdr:nvSpPr>
            <xdr:cNvPr id="1028" name="Button 4" descr="Simulação&#10;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6</xdr:row>
          <xdr:rowOff>152400</xdr:rowOff>
        </xdr:from>
        <xdr:to>
          <xdr:col>2</xdr:col>
          <xdr:colOff>723900</xdr:colOff>
          <xdr:row>9</xdr:row>
          <xdr:rowOff>177800</xdr:rowOff>
        </xdr:to>
        <xdr:sp macro="" textlink="">
          <xdr:nvSpPr>
            <xdr:cNvPr id="4097" name="Button 1" descr="Simulação - Taxa de Serviço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Simulação - Taxa de Serviço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635000</xdr:colOff>
          <xdr:row>7</xdr:row>
          <xdr:rowOff>12700</xdr:rowOff>
        </xdr:from>
        <xdr:to>
          <xdr:col>2</xdr:col>
          <xdr:colOff>508000</xdr:colOff>
          <xdr:row>9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A89486C-5E81-AF46-AD03-68505B7CB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673100</xdr:colOff>
          <xdr:row>13</xdr:row>
          <xdr:rowOff>101600</xdr:rowOff>
        </xdr:from>
        <xdr:to>
          <xdr:col>2</xdr:col>
          <xdr:colOff>711200</xdr:colOff>
          <xdr:row>15</xdr:row>
          <xdr:rowOff>101600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177800</xdr:rowOff>
    </xdr:from>
    <xdr:to>
      <xdr:col>7</xdr:col>
      <xdr:colOff>749300</xdr:colOff>
      <xdr:row>21</xdr:row>
      <xdr:rowOff>50800</xdr:rowOff>
    </xdr:to>
    <xdr:graphicFrame macro="">
      <xdr:nvGraphicFramePr>
        <xdr:cNvPr id="2" name="Chart 1" descr="Stock médio">
          <a:extLst>
            <a:ext uri="{FF2B5EF4-FFF2-40B4-BE49-F238E27FC236}">
              <a16:creationId xmlns:a16="http://schemas.microsoft.com/office/drawing/2014/main" id="{D4A26B77-F356-9445-BC1F-65C4AA0BA25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755650</xdr:colOff>
      <xdr:row>1</xdr:row>
      <xdr:rowOff>0</xdr:rowOff>
    </xdr:from>
    <xdr:to>
      <xdr:col>17</xdr:col>
      <xdr:colOff>673100</xdr:colOff>
      <xdr:row>21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7FEDD4D-397C-6942-AB19-7E9F6F1D6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806450</xdr:colOff>
      <xdr:row>22</xdr:row>
      <xdr:rowOff>38100</xdr:rowOff>
    </xdr:from>
    <xdr:to>
      <xdr:col>17</xdr:col>
      <xdr:colOff>723900</xdr:colOff>
      <xdr:row>47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FA0F84F-0676-2E40-8C48-66E1CBABAC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412750</xdr:colOff>
      <xdr:row>22</xdr:row>
      <xdr:rowOff>50800</xdr:rowOff>
    </xdr:from>
    <xdr:to>
      <xdr:col>8</xdr:col>
      <xdr:colOff>0</xdr:colOff>
      <xdr:row>47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F864010-7AB9-A241-B43D-89CCA467C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01636-8377-4190-BBE2-42FF048E45DD}">
  <sheetPr codeName="Folha1"/>
  <dimension ref="A1:W91"/>
  <sheetViews>
    <sheetView zoomScale="75" zoomScaleNormal="50" workbookViewId="0">
      <selection activeCell="J24" sqref="J24"/>
    </sheetView>
  </sheetViews>
  <sheetFormatPr baseColWidth="10" defaultColWidth="8.83203125" defaultRowHeight="15" x14ac:dyDescent="0.2"/>
  <cols>
    <col min="2" max="2" width="8" style="8" bestFit="1" customWidth="1"/>
    <col min="3" max="3" width="12.6640625" customWidth="1"/>
    <col min="4" max="4" width="11.33203125" customWidth="1"/>
    <col min="5" max="5" width="12.1640625" bestFit="1" customWidth="1"/>
    <col min="6" max="6" width="7.83203125" bestFit="1" customWidth="1"/>
    <col min="7" max="7" width="11.33203125" bestFit="1" customWidth="1"/>
    <col min="8" max="8" width="13.1640625" bestFit="1" customWidth="1"/>
    <col min="9" max="9" width="9.5" bestFit="1" customWidth="1"/>
    <col min="10" max="10" width="8.83203125" bestFit="1" customWidth="1"/>
    <col min="11" max="11" width="12.1640625" bestFit="1" customWidth="1"/>
    <col min="12" max="12" width="21.5" customWidth="1"/>
    <col min="13" max="13" width="21.1640625" customWidth="1"/>
    <col min="14" max="14" width="16.83203125" customWidth="1"/>
    <col min="15" max="16" width="18" customWidth="1"/>
    <col min="17" max="17" width="4.1640625" customWidth="1"/>
    <col min="18" max="18" width="32.83203125" style="11" bestFit="1" customWidth="1"/>
    <col min="19" max="19" width="3.1640625" customWidth="1"/>
    <col min="20" max="20" width="14.6640625" bestFit="1" customWidth="1"/>
    <col min="21" max="21" width="13.6640625" customWidth="1"/>
    <col min="22" max="22" width="12.83203125" customWidth="1"/>
    <col min="23" max="52" width="3.1640625" customWidth="1"/>
  </cols>
  <sheetData>
    <row r="1" spans="2:22" ht="25.5" customHeight="1" x14ac:dyDescent="0.2">
      <c r="C1" s="61" t="s">
        <v>23</v>
      </c>
      <c r="D1" s="62"/>
      <c r="E1" s="62"/>
      <c r="F1" s="62"/>
      <c r="G1" s="62"/>
      <c r="H1" s="62"/>
      <c r="I1" s="62"/>
      <c r="J1" s="62"/>
      <c r="K1" s="62"/>
      <c r="L1" s="61" t="s">
        <v>24</v>
      </c>
      <c r="M1" s="62"/>
      <c r="N1" s="62"/>
      <c r="O1" s="62"/>
      <c r="P1" s="63"/>
      <c r="Q1" s="7"/>
    </row>
    <row r="2" spans="2:22" ht="40" customHeight="1" x14ac:dyDescent="0.2">
      <c r="B2" s="9" t="s">
        <v>21</v>
      </c>
      <c r="C2" s="9" t="s">
        <v>28</v>
      </c>
      <c r="D2" s="9" t="s">
        <v>29</v>
      </c>
      <c r="E2" s="25" t="s">
        <v>40</v>
      </c>
      <c r="F2" s="9" t="s">
        <v>48</v>
      </c>
      <c r="G2" s="9" t="s">
        <v>33</v>
      </c>
      <c r="H2" s="25" t="s">
        <v>34</v>
      </c>
      <c r="I2" s="25" t="s">
        <v>31</v>
      </c>
      <c r="J2" s="25" t="s">
        <v>49</v>
      </c>
      <c r="K2" s="25" t="s">
        <v>50</v>
      </c>
      <c r="L2" s="31" t="s">
        <v>36</v>
      </c>
      <c r="M2" s="31" t="s">
        <v>46</v>
      </c>
      <c r="N2" s="31" t="s">
        <v>43</v>
      </c>
      <c r="O2" s="31" t="s">
        <v>35</v>
      </c>
      <c r="P2" s="31" t="s">
        <v>52</v>
      </c>
    </row>
    <row r="3" spans="2:22" ht="16" customHeight="1" x14ac:dyDescent="0.2">
      <c r="B3" s="9">
        <v>1</v>
      </c>
      <c r="C3" s="37">
        <f ca="1">R4+(R7-R4)*RAND()</f>
        <v>2500</v>
      </c>
      <c r="D3" s="39">
        <f ca="1">C3-J3</f>
        <v>2078.5091390317257</v>
      </c>
      <c r="E3" s="41">
        <f ca="1">(C3-D3)/2+D3</f>
        <v>2289.2545695158628</v>
      </c>
      <c r="F3" s="36">
        <f ca="1">Enunciado!R4</f>
        <v>421.49086096827409</v>
      </c>
      <c r="G3" s="17">
        <f>IF(MOD(B3,2)=0,IF(D3&lt;$R$4,1,0),0)</f>
        <v>0</v>
      </c>
      <c r="H3" s="39">
        <f ca="1">G3*($R$7-D3)</f>
        <v>0</v>
      </c>
      <c r="I3" s="39">
        <f ca="1">IF(RAND()&lt;$U$4,1,0)</f>
        <v>1</v>
      </c>
      <c r="J3" s="39">
        <f ca="1">IF(C3&gt;F3,F3,C3)</f>
        <v>421.49086096827409</v>
      </c>
      <c r="K3" s="39">
        <f ca="1">F3-J3</f>
        <v>0</v>
      </c>
      <c r="L3" s="40">
        <f ca="1">$R$13*J3</f>
        <v>50578.903316192889</v>
      </c>
      <c r="M3" s="40">
        <f ca="1">($R$19*E3)*($R$10)</f>
        <v>795.28703744981067</v>
      </c>
      <c r="N3" s="40">
        <f ca="1">(20+2*$R$22)*K3</f>
        <v>0</v>
      </c>
      <c r="O3" s="40">
        <f>$R$16*G3</f>
        <v>0</v>
      </c>
      <c r="P3" s="40">
        <f ca="1">L3-M3-N3-O3</f>
        <v>49783.61627874308</v>
      </c>
      <c r="R3" s="12" t="s">
        <v>5</v>
      </c>
      <c r="S3" s="11"/>
      <c r="U3" s="59" t="s">
        <v>30</v>
      </c>
      <c r="V3" s="60"/>
    </row>
    <row r="4" spans="2:22" x14ac:dyDescent="0.2">
      <c r="B4" s="9">
        <v>2</v>
      </c>
      <c r="C4" s="39">
        <f ca="1">D3</f>
        <v>2078.5091390317257</v>
      </c>
      <c r="D4" s="39">
        <f ca="1">C4-J4</f>
        <v>1663.7812450984318</v>
      </c>
      <c r="E4" s="41">
        <f ca="1">(C4-D4)/2+D4</f>
        <v>1871.1451920650788</v>
      </c>
      <c r="F4" s="36">
        <f ca="1">Enunciado!R5</f>
        <v>414.72789393329384</v>
      </c>
      <c r="G4" s="17">
        <f ca="1">IF(MOD(B4,2)=0,IF(D4&lt;$R$4,1,0),0)</f>
        <v>1</v>
      </c>
      <c r="H4" s="39">
        <f ca="1">G4*($R$7-D4)</f>
        <v>836.21875490156822</v>
      </c>
      <c r="I4" s="39">
        <f t="shared" ref="I4:I52" ca="1" si="0">IF(RAND()&lt;$U$4,1,0)</f>
        <v>1</v>
      </c>
      <c r="J4" s="39">
        <f ca="1">IF(C4&gt;F4,F4,C4)</f>
        <v>414.72789393329384</v>
      </c>
      <c r="K4" s="39">
        <f ca="1">F4-J4</f>
        <v>0</v>
      </c>
      <c r="L4" s="40">
        <f ca="1">$R$13*J4</f>
        <v>49767.347271995262</v>
      </c>
      <c r="M4" s="40">
        <f ca="1">$R$19*E4*$R$13</f>
        <v>808.33472297211404</v>
      </c>
      <c r="N4" s="40">
        <f ca="1">(20+2*$R$22)*K4</f>
        <v>0</v>
      </c>
      <c r="O4" s="40">
        <f t="shared" ref="O4:O52" ca="1" si="1">$R$16*G4</f>
        <v>900</v>
      </c>
      <c r="P4" s="40">
        <f t="shared" ref="P4:P52" ca="1" si="2">L4-M4-N4-O4</f>
        <v>48059.012549023151</v>
      </c>
      <c r="R4" s="26">
        <f>'Simulação - Lucro'!B3</f>
        <v>2500</v>
      </c>
      <c r="S4" s="11"/>
      <c r="U4" s="21">
        <v>0.6</v>
      </c>
      <c r="V4" s="21">
        <v>0.4</v>
      </c>
    </row>
    <row r="5" spans="2:22" x14ac:dyDescent="0.2">
      <c r="B5" s="9">
        <v>3</v>
      </c>
      <c r="C5" s="39">
        <f ca="1">D4+I3*H3</f>
        <v>1663.7812450984318</v>
      </c>
      <c r="D5" s="39">
        <f ca="1">C5-J5</f>
        <v>1232.7124634085935</v>
      </c>
      <c r="E5" s="41">
        <f ca="1">(C5-D5)/2+D5</f>
        <v>1448.2468542535125</v>
      </c>
      <c r="F5" s="36">
        <f ca="1">Enunciado!R6</f>
        <v>431.0687816898382</v>
      </c>
      <c r="G5" s="17">
        <f>IF(MOD(B5,2)=0,IF(D5&lt;$R$4,1,0),0)</f>
        <v>0</v>
      </c>
      <c r="H5" s="39">
        <f ca="1">G5*($R$7-D5)</f>
        <v>0</v>
      </c>
      <c r="I5" s="39">
        <f t="shared" ca="1" si="0"/>
        <v>1</v>
      </c>
      <c r="J5" s="39">
        <f ca="1">IF(C5&gt;F5,F5,C5)</f>
        <v>431.0687816898382</v>
      </c>
      <c r="K5" s="39">
        <f t="shared" ref="K5:K52" ca="1" si="3">F5-J5</f>
        <v>0</v>
      </c>
      <c r="L5" s="40">
        <f ca="1">$R$13*J5</f>
        <v>51728.253802780586</v>
      </c>
      <c r="M5" s="40">
        <f ca="1">$R$19*E5*$R$13</f>
        <v>625.64264103751748</v>
      </c>
      <c r="N5" s="40">
        <f t="shared" ref="N5:N52" ca="1" si="4">(20+2*$R$22)*K5</f>
        <v>0</v>
      </c>
      <c r="O5" s="40">
        <f t="shared" si="1"/>
        <v>0</v>
      </c>
      <c r="P5" s="40">
        <f t="shared" ca="1" si="2"/>
        <v>51102.611161743065</v>
      </c>
      <c r="S5" s="11"/>
      <c r="U5" s="16" t="s">
        <v>32</v>
      </c>
      <c r="V5" s="18" t="s">
        <v>18</v>
      </c>
    </row>
    <row r="6" spans="2:22" x14ac:dyDescent="0.2">
      <c r="B6" s="9">
        <v>4</v>
      </c>
      <c r="C6" s="39">
        <f ca="1">D5+I4*H4 + (1-I3)*H3</f>
        <v>2068.931218310162</v>
      </c>
      <c r="D6" s="39">
        <f t="shared" ref="D6:D52" ca="1" si="5">C6-J6</f>
        <v>1653.3755919646371</v>
      </c>
      <c r="E6" s="41">
        <f ca="1">(C6-D6)/2+D6</f>
        <v>1861.1534051373997</v>
      </c>
      <c r="F6" s="36">
        <f ca="1">Enunciado!R7</f>
        <v>415.5556263455249</v>
      </c>
      <c r="G6" s="17">
        <f t="shared" ref="G6:G52" ca="1" si="6">IF(MOD(B6,2)=0,IF(D6&lt;$R$4,1,0),0)</f>
        <v>1</v>
      </c>
      <c r="H6" s="39">
        <f ca="1">G6*($R$7-D6)</f>
        <v>846.62440803536288</v>
      </c>
      <c r="I6" s="39">
        <f t="shared" ca="1" si="0"/>
        <v>1</v>
      </c>
      <c r="J6" s="39">
        <f t="shared" ref="J6:J52" ca="1" si="7">IF(C6&gt;F6,F6,C6)</f>
        <v>415.5556263455249</v>
      </c>
      <c r="K6" s="39">
        <f t="shared" ca="1" si="3"/>
        <v>0</v>
      </c>
      <c r="L6" s="40">
        <f t="shared" ref="L6:L52" ca="1" si="8">$R$13*J6</f>
        <v>49866.67516146299</v>
      </c>
      <c r="M6" s="40">
        <f ca="1">$R$19*E6*$R$13</f>
        <v>804.01827101935658</v>
      </c>
      <c r="N6" s="40">
        <f ca="1">(20+2*$R$22)*K6</f>
        <v>0</v>
      </c>
      <c r="O6" s="40">
        <f t="shared" ca="1" si="1"/>
        <v>900</v>
      </c>
      <c r="P6" s="40">
        <f t="shared" ca="1" si="2"/>
        <v>48162.656890443635</v>
      </c>
      <c r="R6" s="12" t="s">
        <v>2</v>
      </c>
      <c r="S6" s="11"/>
      <c r="T6" s="10" t="s">
        <v>31</v>
      </c>
      <c r="U6" s="16">
        <v>1</v>
      </c>
      <c r="V6" s="16">
        <v>0</v>
      </c>
    </row>
    <row r="7" spans="2:22" x14ac:dyDescent="0.2">
      <c r="B7" s="9">
        <v>5</v>
      </c>
      <c r="C7" s="39">
        <f ca="1">D6+I5*H5 + (1-I4)*H4</f>
        <v>1653.3755919646371</v>
      </c>
      <c r="D7" s="39">
        <f t="shared" ca="1" si="5"/>
        <v>1192.0241553226865</v>
      </c>
      <c r="E7" s="41">
        <f t="shared" ref="E7:E52" ca="1" si="9">(C7-D7)/2+D7</f>
        <v>1422.6998736436617</v>
      </c>
      <c r="F7" s="36">
        <f ca="1">Enunciado!R8</f>
        <v>461.35143664195067</v>
      </c>
      <c r="G7" s="17">
        <f t="shared" si="6"/>
        <v>0</v>
      </c>
      <c r="H7" s="39">
        <f t="shared" ref="H7:H52" ca="1" si="10">G7*($R$7-D7)</f>
        <v>0</v>
      </c>
      <c r="I7" s="39">
        <f t="shared" ca="1" si="0"/>
        <v>1</v>
      </c>
      <c r="J7" s="39">
        <f t="shared" ca="1" si="7"/>
        <v>461.35143664195067</v>
      </c>
      <c r="K7" s="39">
        <f t="shared" ca="1" si="3"/>
        <v>0</v>
      </c>
      <c r="L7" s="40">
        <f t="shared" ca="1" si="8"/>
        <v>55362.172397034083</v>
      </c>
      <c r="M7" s="40">
        <f ca="1">$R$19*E7*$R$13</f>
        <v>614.60634541406182</v>
      </c>
      <c r="N7" s="40">
        <f t="shared" ca="1" si="4"/>
        <v>0</v>
      </c>
      <c r="O7" s="40">
        <f t="shared" si="1"/>
        <v>0</v>
      </c>
      <c r="P7" s="40">
        <f t="shared" ca="1" si="2"/>
        <v>54747.566051620022</v>
      </c>
      <c r="R7" s="26">
        <f>'Simulação - Lucro'!B2</f>
        <v>2500</v>
      </c>
      <c r="S7" s="11"/>
    </row>
    <row r="8" spans="2:22" x14ac:dyDescent="0.2">
      <c r="B8" s="9">
        <v>6</v>
      </c>
      <c r="C8" s="39">
        <f ca="1">D7+I6*H6 + (1-I5)*H5</f>
        <v>2038.6485633580494</v>
      </c>
      <c r="D8" s="39">
        <f t="shared" ca="1" si="5"/>
        <v>1614.1512318425011</v>
      </c>
      <c r="E8" s="41">
        <f t="shared" ca="1" si="9"/>
        <v>1826.3998976002754</v>
      </c>
      <c r="F8" s="36">
        <f ca="1">Enunciado!R9</f>
        <v>424.49733151554835</v>
      </c>
      <c r="G8" s="17">
        <f t="shared" ca="1" si="6"/>
        <v>1</v>
      </c>
      <c r="H8" s="39">
        <f t="shared" ca="1" si="10"/>
        <v>885.84876815749885</v>
      </c>
      <c r="I8" s="39">
        <f t="shared" ca="1" si="0"/>
        <v>1</v>
      </c>
      <c r="J8" s="39">
        <f t="shared" ca="1" si="7"/>
        <v>424.49733151554835</v>
      </c>
      <c r="K8" s="39">
        <f t="shared" ca="1" si="3"/>
        <v>0</v>
      </c>
      <c r="L8" s="40">
        <f t="shared" ca="1" si="8"/>
        <v>50939.679781865801</v>
      </c>
      <c r="M8" s="40">
        <f t="shared" ref="M8:M52" ca="1" si="11">$R$19*E8*$R$13</f>
        <v>789.00475576331894</v>
      </c>
      <c r="N8" s="13">
        <f t="shared" ca="1" si="4"/>
        <v>0</v>
      </c>
      <c r="O8" s="13">
        <f t="shared" ca="1" si="1"/>
        <v>900</v>
      </c>
      <c r="P8" s="13">
        <f t="shared" ca="1" si="2"/>
        <v>49250.675026102479</v>
      </c>
      <c r="S8" s="11"/>
    </row>
    <row r="9" spans="2:22" x14ac:dyDescent="0.2">
      <c r="B9" s="9">
        <v>7</v>
      </c>
      <c r="C9" s="39">
        <f t="shared" ref="C9:C51" ca="1" si="12">D8+I7*H7 + (1-I6)*H6</f>
        <v>1614.1512318425011</v>
      </c>
      <c r="D9" s="39">
        <f t="shared" ca="1" si="5"/>
        <v>1196.3301597754823</v>
      </c>
      <c r="E9" s="41">
        <f t="shared" ca="1" si="9"/>
        <v>1405.2406958089919</v>
      </c>
      <c r="F9" s="36">
        <f ca="1">Enunciado!R10</f>
        <v>417.82107206701875</v>
      </c>
      <c r="G9" s="17">
        <f t="shared" si="6"/>
        <v>0</v>
      </c>
      <c r="H9" s="39">
        <f t="shared" ca="1" si="10"/>
        <v>0</v>
      </c>
      <c r="I9" s="39">
        <f t="shared" ca="1" si="0"/>
        <v>1</v>
      </c>
      <c r="J9" s="39">
        <f t="shared" ca="1" si="7"/>
        <v>417.82107206701875</v>
      </c>
      <c r="K9" s="39">
        <f t="shared" ca="1" si="3"/>
        <v>0</v>
      </c>
      <c r="L9" s="40">
        <f t="shared" ca="1" si="8"/>
        <v>50138.528648042251</v>
      </c>
      <c r="M9" s="40">
        <f t="shared" ca="1" si="11"/>
        <v>607.06398058948446</v>
      </c>
      <c r="N9" s="13">
        <f t="shared" ca="1" si="4"/>
        <v>0</v>
      </c>
      <c r="O9" s="13">
        <f t="shared" si="1"/>
        <v>0</v>
      </c>
      <c r="P9" s="13">
        <f t="shared" ca="1" si="2"/>
        <v>49531.464667452768</v>
      </c>
      <c r="R9" s="12" t="s">
        <v>26</v>
      </c>
      <c r="S9" s="11"/>
    </row>
    <row r="10" spans="2:22" x14ac:dyDescent="0.2">
      <c r="B10" s="9">
        <v>8</v>
      </c>
      <c r="C10" s="39">
        <f t="shared" ca="1" si="12"/>
        <v>2082.1789279329814</v>
      </c>
      <c r="D10" s="39">
        <f t="shared" ca="1" si="5"/>
        <v>1661.747485451458</v>
      </c>
      <c r="E10" s="41">
        <f t="shared" ca="1" si="9"/>
        <v>1871.9632066922197</v>
      </c>
      <c r="F10" s="36">
        <f ca="1">Enunciado!R11</f>
        <v>420.43144248152333</v>
      </c>
      <c r="G10" s="17">
        <f t="shared" ca="1" si="6"/>
        <v>1</v>
      </c>
      <c r="H10" s="39">
        <f t="shared" ca="1" si="10"/>
        <v>838.25251454854197</v>
      </c>
      <c r="I10" s="39">
        <f t="shared" ca="1" si="0"/>
        <v>1</v>
      </c>
      <c r="J10" s="39">
        <f t="shared" ca="1" si="7"/>
        <v>420.43144248152333</v>
      </c>
      <c r="K10" s="39">
        <f t="shared" ca="1" si="3"/>
        <v>0</v>
      </c>
      <c r="L10" s="40">
        <f t="shared" ca="1" si="8"/>
        <v>50451.773097782803</v>
      </c>
      <c r="M10" s="40">
        <f ca="1">$R$19*E10*$R$13</f>
        <v>808.68810529103882</v>
      </c>
      <c r="N10" s="13">
        <f t="shared" ca="1" si="4"/>
        <v>0</v>
      </c>
      <c r="O10" s="13">
        <f t="shared" ca="1" si="1"/>
        <v>900</v>
      </c>
      <c r="P10" s="13">
        <f t="shared" ca="1" si="2"/>
        <v>48743.084992491764</v>
      </c>
      <c r="R10" s="21">
        <v>96.5</v>
      </c>
      <c r="S10" s="11"/>
      <c r="T10" s="20"/>
      <c r="U10" s="20"/>
    </row>
    <row r="11" spans="2:22" x14ac:dyDescent="0.2">
      <c r="B11" s="9">
        <v>9</v>
      </c>
      <c r="C11" s="39">
        <f t="shared" ca="1" si="12"/>
        <v>1661.747485451458</v>
      </c>
      <c r="D11" s="39">
        <f t="shared" ca="1" si="5"/>
        <v>1225.079197917159</v>
      </c>
      <c r="E11" s="41">
        <f t="shared" ca="1" si="9"/>
        <v>1443.4133416843085</v>
      </c>
      <c r="F11" s="36">
        <f ca="1">Enunciado!R12</f>
        <v>436.66828753429905</v>
      </c>
      <c r="G11" s="17">
        <f t="shared" si="6"/>
        <v>0</v>
      </c>
      <c r="H11" s="39">
        <f t="shared" ca="1" si="10"/>
        <v>0</v>
      </c>
      <c r="I11" s="39">
        <f t="shared" ca="1" si="0"/>
        <v>0</v>
      </c>
      <c r="J11" s="39">
        <f t="shared" ca="1" si="7"/>
        <v>436.66828753429905</v>
      </c>
      <c r="K11" s="39">
        <f t="shared" ca="1" si="3"/>
        <v>0</v>
      </c>
      <c r="L11" s="40">
        <f t="shared" ca="1" si="8"/>
        <v>52400.194504115883</v>
      </c>
      <c r="M11" s="40">
        <f ca="1">$R$19*E11*$R$13</f>
        <v>623.55456360762128</v>
      </c>
      <c r="N11" s="13">
        <f t="shared" ca="1" si="4"/>
        <v>0</v>
      </c>
      <c r="O11" s="13">
        <f t="shared" si="1"/>
        <v>0</v>
      </c>
      <c r="P11" s="13">
        <f t="shared" ca="1" si="2"/>
        <v>51776.639940508263</v>
      </c>
      <c r="S11" s="11"/>
      <c r="T11" s="20"/>
      <c r="U11" s="20"/>
    </row>
    <row r="12" spans="2:22" x14ac:dyDescent="0.2">
      <c r="B12" s="9">
        <v>10</v>
      </c>
      <c r="C12" s="39">
        <f ca="1">D11+I10*H10 + (1-I9)*H9</f>
        <v>2063.331712465701</v>
      </c>
      <c r="D12" s="39">
        <f t="shared" ca="1" si="5"/>
        <v>1629.2490194319378</v>
      </c>
      <c r="E12" s="41">
        <f t="shared" ca="1" si="9"/>
        <v>1846.2903659488193</v>
      </c>
      <c r="F12" s="36">
        <f ca="1">Enunciado!R13</f>
        <v>434.08269303376323</v>
      </c>
      <c r="G12" s="17">
        <f t="shared" ca="1" si="6"/>
        <v>1</v>
      </c>
      <c r="H12" s="39">
        <f t="shared" ca="1" si="10"/>
        <v>870.75098056806223</v>
      </c>
      <c r="I12" s="39">
        <f t="shared" ca="1" si="0"/>
        <v>0</v>
      </c>
      <c r="J12" s="39">
        <f t="shared" ca="1" si="7"/>
        <v>434.08269303376323</v>
      </c>
      <c r="K12" s="39">
        <f t="shared" ca="1" si="3"/>
        <v>0</v>
      </c>
      <c r="L12" s="40">
        <f t="shared" ca="1" si="8"/>
        <v>52089.923164051586</v>
      </c>
      <c r="M12" s="40">
        <f t="shared" ca="1" si="11"/>
        <v>797.59743808988992</v>
      </c>
      <c r="N12" s="13">
        <f t="shared" ca="1" si="4"/>
        <v>0</v>
      </c>
      <c r="O12" s="13">
        <f t="shared" ca="1" si="1"/>
        <v>900</v>
      </c>
      <c r="P12" s="13">
        <f t="shared" ca="1" si="2"/>
        <v>50392.325725961695</v>
      </c>
      <c r="R12" s="12" t="s">
        <v>25</v>
      </c>
      <c r="S12" s="11"/>
      <c r="T12" s="20"/>
      <c r="U12" s="20"/>
    </row>
    <row r="13" spans="2:22" x14ac:dyDescent="0.2">
      <c r="B13" s="9">
        <v>11</v>
      </c>
      <c r="C13" s="39">
        <f t="shared" ca="1" si="12"/>
        <v>1629.2490194319378</v>
      </c>
      <c r="D13" s="38">
        <f t="shared" ca="1" si="5"/>
        <v>1193.6479811975155</v>
      </c>
      <c r="E13" s="34">
        <f t="shared" ca="1" si="9"/>
        <v>1411.4485003147265</v>
      </c>
      <c r="F13" s="35">
        <f ca="1">Enunciado!R14</f>
        <v>435.60103823442216</v>
      </c>
      <c r="G13" s="10">
        <f t="shared" si="6"/>
        <v>0</v>
      </c>
      <c r="H13" s="38">
        <f t="shared" ca="1" si="10"/>
        <v>0</v>
      </c>
      <c r="I13" s="38">
        <f t="shared" ca="1" si="0"/>
        <v>1</v>
      </c>
      <c r="J13" s="38">
        <f t="shared" ca="1" si="7"/>
        <v>435.60103823442216</v>
      </c>
      <c r="K13" s="38">
        <f t="shared" ca="1" si="3"/>
        <v>0</v>
      </c>
      <c r="L13" s="13">
        <f t="shared" ca="1" si="8"/>
        <v>52272.12458813066</v>
      </c>
      <c r="M13" s="13">
        <f t="shared" ca="1" si="11"/>
        <v>609.74575213596188</v>
      </c>
      <c r="N13" s="13">
        <f t="shared" ca="1" si="4"/>
        <v>0</v>
      </c>
      <c r="O13" s="13">
        <f t="shared" si="1"/>
        <v>0</v>
      </c>
      <c r="P13" s="13">
        <f t="shared" ca="1" si="2"/>
        <v>51662.378835994699</v>
      </c>
      <c r="R13" s="21">
        <v>120</v>
      </c>
      <c r="S13" s="11"/>
      <c r="T13" s="20"/>
      <c r="U13" s="20"/>
    </row>
    <row r="14" spans="2:22" x14ac:dyDescent="0.2">
      <c r="B14" s="9">
        <v>12</v>
      </c>
      <c r="C14" s="39">
        <f t="shared" ca="1" si="12"/>
        <v>1193.6479811975155</v>
      </c>
      <c r="D14" s="38">
        <f t="shared" ca="1" si="5"/>
        <v>732.04186322379292</v>
      </c>
      <c r="E14" s="34">
        <f t="shared" ca="1" si="9"/>
        <v>962.8449222106542</v>
      </c>
      <c r="F14" s="35">
        <f ca="1">Enunciado!R15</f>
        <v>461.60611797372258</v>
      </c>
      <c r="G14" s="10">
        <f t="shared" ca="1" si="6"/>
        <v>1</v>
      </c>
      <c r="H14" s="38">
        <f t="shared" ca="1" si="10"/>
        <v>1767.9581367762071</v>
      </c>
      <c r="I14" s="38">
        <f t="shared" ca="1" si="0"/>
        <v>0</v>
      </c>
      <c r="J14" s="38">
        <f t="shared" ca="1" si="7"/>
        <v>461.60611797372258</v>
      </c>
      <c r="K14" s="38">
        <f t="shared" ca="1" si="3"/>
        <v>0</v>
      </c>
      <c r="L14" s="13">
        <f t="shared" ca="1" si="8"/>
        <v>55392.734156846709</v>
      </c>
      <c r="M14" s="13">
        <f t="shared" ca="1" si="11"/>
        <v>415.94900639500258</v>
      </c>
      <c r="N14" s="13">
        <f t="shared" ca="1" si="4"/>
        <v>0</v>
      </c>
      <c r="O14" s="13">
        <f t="shared" ca="1" si="1"/>
        <v>900</v>
      </c>
      <c r="P14" s="13">
        <f t="shared" ca="1" si="2"/>
        <v>54076.785150451709</v>
      </c>
      <c r="T14" s="20"/>
      <c r="U14" s="20"/>
      <c r="V14" s="65"/>
    </row>
    <row r="15" spans="2:22" x14ac:dyDescent="0.2">
      <c r="B15" s="9">
        <v>13</v>
      </c>
      <c r="C15" s="39">
        <f t="shared" ca="1" si="12"/>
        <v>1602.7928437918551</v>
      </c>
      <c r="D15" s="38">
        <f t="shared" ca="1" si="5"/>
        <v>1170.4326131989415</v>
      </c>
      <c r="E15" s="34">
        <f t="shared" ca="1" si="9"/>
        <v>1386.6127284953982</v>
      </c>
      <c r="F15" s="35">
        <f ca="1">Enunciado!R16</f>
        <v>432.36023059291381</v>
      </c>
      <c r="G15" s="10">
        <f t="shared" si="6"/>
        <v>0</v>
      </c>
      <c r="H15" s="38">
        <f t="shared" ca="1" si="10"/>
        <v>0</v>
      </c>
      <c r="I15" s="38">
        <f t="shared" ca="1" si="0"/>
        <v>0</v>
      </c>
      <c r="J15" s="38">
        <f t="shared" ca="1" si="7"/>
        <v>432.36023059291381</v>
      </c>
      <c r="K15" s="38">
        <f t="shared" ca="1" si="3"/>
        <v>0</v>
      </c>
      <c r="L15" s="13">
        <f t="shared" ca="1" si="8"/>
        <v>51883.22767114966</v>
      </c>
      <c r="M15" s="13">
        <f t="shared" ca="1" si="11"/>
        <v>599.01669871001207</v>
      </c>
      <c r="N15" s="13">
        <f t="shared" ca="1" si="4"/>
        <v>0</v>
      </c>
      <c r="O15" s="13">
        <f t="shared" si="1"/>
        <v>0</v>
      </c>
      <c r="P15" s="13">
        <f t="shared" ca="1" si="2"/>
        <v>51284.210972439651</v>
      </c>
      <c r="R15" s="12" t="s">
        <v>37</v>
      </c>
      <c r="T15" s="20"/>
      <c r="U15" s="20"/>
      <c r="V15" s="65"/>
    </row>
    <row r="16" spans="2:22" x14ac:dyDescent="0.2">
      <c r="B16" s="9">
        <v>14</v>
      </c>
      <c r="C16" s="39">
        <f t="shared" ca="1" si="12"/>
        <v>1170.4326131989415</v>
      </c>
      <c r="D16" s="38">
        <f t="shared" ca="1" si="5"/>
        <v>712.94726880736039</v>
      </c>
      <c r="E16" s="34">
        <f t="shared" ca="1" si="9"/>
        <v>941.68994100315092</v>
      </c>
      <c r="F16" s="35">
        <f ca="1">Enunciado!R17</f>
        <v>457.48534439158112</v>
      </c>
      <c r="G16" s="10">
        <f t="shared" ca="1" si="6"/>
        <v>1</v>
      </c>
      <c r="H16" s="38">
        <f t="shared" ca="1" si="10"/>
        <v>1787.0527311926396</v>
      </c>
      <c r="I16" s="38">
        <f t="shared" ca="1" si="0"/>
        <v>1</v>
      </c>
      <c r="J16" s="38">
        <f t="shared" ca="1" si="7"/>
        <v>457.48534439158112</v>
      </c>
      <c r="K16" s="38">
        <f t="shared" ca="1" si="3"/>
        <v>0</v>
      </c>
      <c r="L16" s="13">
        <f t="shared" ca="1" si="8"/>
        <v>54898.241326989737</v>
      </c>
      <c r="M16" s="13">
        <f t="shared" ca="1" si="11"/>
        <v>406.81005451336119</v>
      </c>
      <c r="N16" s="13">
        <f t="shared" ca="1" si="4"/>
        <v>0</v>
      </c>
      <c r="O16" s="13">
        <f t="shared" ca="1" si="1"/>
        <v>900</v>
      </c>
      <c r="P16" s="13">
        <f t="shared" ca="1" si="2"/>
        <v>53591.431272476373</v>
      </c>
      <c r="R16" s="21">
        <v>900</v>
      </c>
      <c r="T16" s="20"/>
      <c r="U16" s="20"/>
      <c r="V16" s="65"/>
    </row>
    <row r="17" spans="2:23" x14ac:dyDescent="0.2">
      <c r="B17" s="9">
        <v>15</v>
      </c>
      <c r="C17" s="39">
        <f t="shared" ca="1" si="12"/>
        <v>2480.9054055835677</v>
      </c>
      <c r="D17" s="38">
        <f t="shared" ca="1" si="5"/>
        <v>2058.8096813341854</v>
      </c>
      <c r="E17" s="34">
        <f t="shared" ca="1" si="9"/>
        <v>2269.8575434588765</v>
      </c>
      <c r="F17" s="35">
        <f ca="1">Enunciado!R18</f>
        <v>422.09572424938222</v>
      </c>
      <c r="G17" s="10">
        <f t="shared" si="6"/>
        <v>0</v>
      </c>
      <c r="H17" s="38">
        <f t="shared" ca="1" si="10"/>
        <v>0</v>
      </c>
      <c r="I17" s="38">
        <f t="shared" ca="1" si="0"/>
        <v>0</v>
      </c>
      <c r="J17" s="38">
        <f t="shared" ca="1" si="7"/>
        <v>422.09572424938222</v>
      </c>
      <c r="K17" s="38">
        <f t="shared" ca="1" si="3"/>
        <v>0</v>
      </c>
      <c r="L17" s="13">
        <f t="shared" ca="1" si="8"/>
        <v>50651.486909925865</v>
      </c>
      <c r="M17" s="13">
        <f t="shared" ca="1" si="11"/>
        <v>980.57845877423449</v>
      </c>
      <c r="N17" s="13">
        <f ca="1">(20+2*$R$22)*K17</f>
        <v>0</v>
      </c>
      <c r="O17" s="13">
        <f t="shared" si="1"/>
        <v>0</v>
      </c>
      <c r="P17" s="13">
        <f t="shared" ca="1" si="2"/>
        <v>49670.908451151634</v>
      </c>
      <c r="V17" s="65"/>
    </row>
    <row r="18" spans="2:23" x14ac:dyDescent="0.2">
      <c r="B18" s="9">
        <v>16</v>
      </c>
      <c r="C18" s="39">
        <f t="shared" ca="1" si="12"/>
        <v>3845.8624125268252</v>
      </c>
      <c r="D18" s="38">
        <f t="shared" ca="1" si="5"/>
        <v>3430.4383699298642</v>
      </c>
      <c r="E18" s="34">
        <f t="shared" ca="1" si="9"/>
        <v>3638.1503912283447</v>
      </c>
      <c r="F18" s="35">
        <f ca="1">Enunciado!R19</f>
        <v>415.42404259696082</v>
      </c>
      <c r="G18" s="10">
        <f t="shared" ca="1" si="6"/>
        <v>0</v>
      </c>
      <c r="H18" s="38">
        <f t="shared" ca="1" si="10"/>
        <v>0</v>
      </c>
      <c r="I18" s="38">
        <f t="shared" ca="1" si="0"/>
        <v>1</v>
      </c>
      <c r="J18" s="38">
        <f t="shared" ca="1" si="7"/>
        <v>415.42404259696082</v>
      </c>
      <c r="K18" s="38">
        <f t="shared" ca="1" si="3"/>
        <v>0</v>
      </c>
      <c r="L18" s="13">
        <f t="shared" ca="1" si="8"/>
        <v>49850.885111635296</v>
      </c>
      <c r="M18" s="13">
        <f t="shared" ca="1" si="11"/>
        <v>1571.680969010645</v>
      </c>
      <c r="N18" s="13">
        <f t="shared" ca="1" si="4"/>
        <v>0</v>
      </c>
      <c r="O18" s="13">
        <f t="shared" ca="1" si="1"/>
        <v>0</v>
      </c>
      <c r="P18" s="13">
        <f t="shared" ca="1" si="2"/>
        <v>48279.204142624651</v>
      </c>
      <c r="R18" s="12" t="s">
        <v>70</v>
      </c>
      <c r="V18" s="65"/>
    </row>
    <row r="19" spans="2:23" x14ac:dyDescent="0.2">
      <c r="B19" s="9">
        <v>17</v>
      </c>
      <c r="C19" s="39">
        <f t="shared" ca="1" si="12"/>
        <v>3430.4383699298642</v>
      </c>
      <c r="D19" s="38">
        <f t="shared" ca="1" si="5"/>
        <v>2809.7608210729077</v>
      </c>
      <c r="E19" s="34">
        <f t="shared" ca="1" si="9"/>
        <v>3120.0995955013859</v>
      </c>
      <c r="F19" s="35">
        <f ca="1">Enunciado!R20</f>
        <v>620.67754885695638</v>
      </c>
      <c r="G19" s="10">
        <f t="shared" si="6"/>
        <v>0</v>
      </c>
      <c r="H19" s="38">
        <f t="shared" ca="1" si="10"/>
        <v>0</v>
      </c>
      <c r="I19" s="38">
        <f t="shared" ca="1" si="0"/>
        <v>0</v>
      </c>
      <c r="J19" s="38">
        <f t="shared" ca="1" si="7"/>
        <v>620.67754885695638</v>
      </c>
      <c r="K19" s="38">
        <f t="shared" ca="1" si="3"/>
        <v>0</v>
      </c>
      <c r="L19" s="13">
        <f t="shared" ca="1" si="8"/>
        <v>74481.305862834764</v>
      </c>
      <c r="M19" s="13">
        <f t="shared" ca="1" si="11"/>
        <v>1347.8830252565986</v>
      </c>
      <c r="N19" s="13">
        <f t="shared" ca="1" si="4"/>
        <v>0</v>
      </c>
      <c r="O19" s="13">
        <f t="shared" si="1"/>
        <v>0</v>
      </c>
      <c r="P19" s="13">
        <f t="shared" ca="1" si="2"/>
        <v>73133.422837578168</v>
      </c>
      <c r="R19" s="21">
        <f>0.18/50</f>
        <v>3.5999999999999999E-3</v>
      </c>
      <c r="V19" s="65"/>
    </row>
    <row r="20" spans="2:23" x14ac:dyDescent="0.2">
      <c r="B20" s="9">
        <v>18</v>
      </c>
      <c r="C20" s="39">
        <f t="shared" ca="1" si="12"/>
        <v>2809.7608210729077</v>
      </c>
      <c r="D20" s="38">
        <f t="shared" ca="1" si="5"/>
        <v>2241.5535111763134</v>
      </c>
      <c r="E20" s="34">
        <f t="shared" ca="1" si="9"/>
        <v>2525.6571661246107</v>
      </c>
      <c r="F20" s="35">
        <f ca="1">Enunciado!R21</f>
        <v>568.20730989659421</v>
      </c>
      <c r="G20" s="10">
        <f t="shared" ca="1" si="6"/>
        <v>1</v>
      </c>
      <c r="H20" s="38">
        <f t="shared" ca="1" si="10"/>
        <v>258.44648882368665</v>
      </c>
      <c r="I20" s="38">
        <f t="shared" ca="1" si="0"/>
        <v>1</v>
      </c>
      <c r="J20" s="38">
        <f t="shared" ca="1" si="7"/>
        <v>568.20730989659421</v>
      </c>
      <c r="K20" s="38">
        <f t="shared" ca="1" si="3"/>
        <v>0</v>
      </c>
      <c r="L20" s="13">
        <f t="shared" ca="1" si="8"/>
        <v>68184.877187591308</v>
      </c>
      <c r="M20" s="13">
        <f t="shared" ca="1" si="11"/>
        <v>1091.0838957658318</v>
      </c>
      <c r="N20" s="13">
        <f t="shared" ca="1" si="4"/>
        <v>0</v>
      </c>
      <c r="O20" s="13">
        <f t="shared" ca="1" si="1"/>
        <v>900</v>
      </c>
      <c r="P20" s="13">
        <f t="shared" ca="1" si="2"/>
        <v>66193.793291825481</v>
      </c>
      <c r="V20" s="65"/>
    </row>
    <row r="21" spans="2:23" x14ac:dyDescent="0.2">
      <c r="B21" s="9">
        <v>19</v>
      </c>
      <c r="C21" s="39">
        <f t="shared" ca="1" si="12"/>
        <v>2241.5535111763134</v>
      </c>
      <c r="D21" s="38">
        <f t="shared" ca="1" si="5"/>
        <v>1665.2978276794558</v>
      </c>
      <c r="E21" s="34">
        <f t="shared" ca="1" si="9"/>
        <v>1953.4256694278847</v>
      </c>
      <c r="F21" s="35">
        <f ca="1">Enunciado!R22</f>
        <v>576.2556834968575</v>
      </c>
      <c r="G21" s="10">
        <f t="shared" si="6"/>
        <v>0</v>
      </c>
      <c r="H21" s="38">
        <f t="shared" ca="1" si="10"/>
        <v>0</v>
      </c>
      <c r="I21" s="38">
        <f t="shared" ca="1" si="0"/>
        <v>1</v>
      </c>
      <c r="J21" s="38">
        <f t="shared" ca="1" si="7"/>
        <v>576.2556834968575</v>
      </c>
      <c r="K21" s="38">
        <f t="shared" ca="1" si="3"/>
        <v>0</v>
      </c>
      <c r="L21" s="13">
        <f t="shared" ca="1" si="8"/>
        <v>69150.682019622895</v>
      </c>
      <c r="M21" s="13">
        <f t="shared" ca="1" si="11"/>
        <v>843.87988919284624</v>
      </c>
      <c r="N21" s="13">
        <f t="shared" ca="1" si="4"/>
        <v>0</v>
      </c>
      <c r="O21" s="13">
        <f t="shared" si="1"/>
        <v>0</v>
      </c>
      <c r="P21" s="13">
        <f t="shared" ca="1" si="2"/>
        <v>68306.802130430049</v>
      </c>
      <c r="R21" s="12" t="s">
        <v>19</v>
      </c>
      <c r="V21" s="65"/>
    </row>
    <row r="22" spans="2:23" x14ac:dyDescent="0.2">
      <c r="B22" s="9">
        <v>20</v>
      </c>
      <c r="C22" s="39">
        <f t="shared" ca="1" si="12"/>
        <v>1923.7443165031425</v>
      </c>
      <c r="D22" s="38">
        <f t="shared" ca="1" si="5"/>
        <v>1346.739640681094</v>
      </c>
      <c r="E22" s="34">
        <f t="shared" ca="1" si="9"/>
        <v>1635.2419785921184</v>
      </c>
      <c r="F22" s="35">
        <f ca="1">Enunciado!R23</f>
        <v>577.00467582204863</v>
      </c>
      <c r="G22" s="10">
        <f t="shared" ca="1" si="6"/>
        <v>1</v>
      </c>
      <c r="H22" s="38">
        <f t="shared" ca="1" si="10"/>
        <v>1153.260359318906</v>
      </c>
      <c r="I22" s="38">
        <f t="shared" ca="1" si="0"/>
        <v>1</v>
      </c>
      <c r="J22" s="38">
        <f t="shared" ca="1" si="7"/>
        <v>577.00467582204863</v>
      </c>
      <c r="K22" s="38">
        <f t="shared" ca="1" si="3"/>
        <v>0</v>
      </c>
      <c r="L22" s="13">
        <f t="shared" ca="1" si="8"/>
        <v>69240.561098645834</v>
      </c>
      <c r="M22" s="13">
        <f t="shared" ca="1" si="11"/>
        <v>706.42453475179514</v>
      </c>
      <c r="N22" s="13">
        <f t="shared" ca="1" si="4"/>
        <v>0</v>
      </c>
      <c r="O22" s="13">
        <f t="shared" ca="1" si="1"/>
        <v>900</v>
      </c>
      <c r="P22" s="13">
        <f t="shared" ca="1" si="2"/>
        <v>67634.136563894033</v>
      </c>
      <c r="R22" s="21">
        <v>4</v>
      </c>
      <c r="V22" s="65"/>
    </row>
    <row r="23" spans="2:23" x14ac:dyDescent="0.2">
      <c r="B23" s="9">
        <v>21</v>
      </c>
      <c r="C23" s="39">
        <f t="shared" ca="1" si="12"/>
        <v>1346.739640681094</v>
      </c>
      <c r="D23" s="38">
        <f t="shared" ca="1" si="5"/>
        <v>778.27030911972577</v>
      </c>
      <c r="E23" s="34">
        <f t="shared" ca="1" si="9"/>
        <v>1062.5049749004099</v>
      </c>
      <c r="F23" s="35">
        <f ca="1">Enunciado!R24</f>
        <v>568.46933156136822</v>
      </c>
      <c r="G23" s="10">
        <f t="shared" si="6"/>
        <v>0</v>
      </c>
      <c r="H23" s="38">
        <f ca="1">G23*($R$7-D23)</f>
        <v>0</v>
      </c>
      <c r="I23" s="38">
        <f t="shared" ca="1" si="0"/>
        <v>1</v>
      </c>
      <c r="J23" s="38">
        <f t="shared" ca="1" si="7"/>
        <v>568.46933156136822</v>
      </c>
      <c r="K23" s="38">
        <f t="shared" ca="1" si="3"/>
        <v>0</v>
      </c>
      <c r="L23" s="13">
        <f t="shared" ca="1" si="8"/>
        <v>68216.319787364191</v>
      </c>
      <c r="M23" s="13">
        <f t="shared" ca="1" si="11"/>
        <v>459.00214915697711</v>
      </c>
      <c r="N23" s="13">
        <f t="shared" ca="1" si="4"/>
        <v>0</v>
      </c>
      <c r="O23" s="13">
        <f t="shared" si="1"/>
        <v>0</v>
      </c>
      <c r="P23" s="13">
        <f t="shared" ca="1" si="2"/>
        <v>67757.317638207212</v>
      </c>
      <c r="V23" s="65"/>
    </row>
    <row r="24" spans="2:23" x14ac:dyDescent="0.2">
      <c r="B24" s="9">
        <v>22</v>
      </c>
      <c r="C24" s="39">
        <f t="shared" ca="1" si="12"/>
        <v>1931.5306684386319</v>
      </c>
      <c r="D24" s="38">
        <f t="shared" ca="1" si="5"/>
        <v>1323.6275408243546</v>
      </c>
      <c r="E24" s="34">
        <f t="shared" ca="1" si="9"/>
        <v>1627.5791046314932</v>
      </c>
      <c r="F24" s="35">
        <f ca="1">Enunciado!R25</f>
        <v>607.9031276142772</v>
      </c>
      <c r="G24" s="10">
        <f t="shared" ca="1" si="6"/>
        <v>1</v>
      </c>
      <c r="H24" s="38">
        <f t="shared" ca="1" si="10"/>
        <v>1176.3724591756454</v>
      </c>
      <c r="I24" s="38">
        <f t="shared" ca="1" si="0"/>
        <v>0</v>
      </c>
      <c r="J24" s="38">
        <f t="shared" ca="1" si="7"/>
        <v>607.9031276142772</v>
      </c>
      <c r="K24" s="38">
        <f t="shared" ca="1" si="3"/>
        <v>0</v>
      </c>
      <c r="L24" s="13">
        <f t="shared" ca="1" si="8"/>
        <v>72948.375313713259</v>
      </c>
      <c r="M24" s="13">
        <f t="shared" ca="1" si="11"/>
        <v>703.114173200805</v>
      </c>
      <c r="N24" s="13">
        <f t="shared" ca="1" si="4"/>
        <v>0</v>
      </c>
      <c r="O24" s="13">
        <f t="shared" ca="1" si="1"/>
        <v>900</v>
      </c>
      <c r="P24" s="13">
        <f t="shared" ca="1" si="2"/>
        <v>71345.261140512448</v>
      </c>
      <c r="R24" s="12" t="s">
        <v>68</v>
      </c>
      <c r="V24" s="65"/>
    </row>
    <row r="25" spans="2:23" x14ac:dyDescent="0.2">
      <c r="B25" s="9">
        <v>23</v>
      </c>
      <c r="C25" s="39">
        <f t="shared" ca="1" si="12"/>
        <v>1323.6275408243546</v>
      </c>
      <c r="D25" s="38">
        <f t="shared" ca="1" si="5"/>
        <v>796.99172112954307</v>
      </c>
      <c r="E25" s="34">
        <f t="shared" ca="1" si="9"/>
        <v>1060.3096309769489</v>
      </c>
      <c r="F25" s="35">
        <f ca="1">Enunciado!R26</f>
        <v>526.63581969481152</v>
      </c>
      <c r="G25" s="10">
        <f t="shared" si="6"/>
        <v>0</v>
      </c>
      <c r="H25" s="38">
        <f t="shared" ca="1" si="10"/>
        <v>0</v>
      </c>
      <c r="I25" s="38">
        <f t="shared" ca="1" si="0"/>
        <v>0</v>
      </c>
      <c r="J25" s="38">
        <f t="shared" ca="1" si="7"/>
        <v>526.63581969481152</v>
      </c>
      <c r="K25" s="38">
        <f t="shared" ca="1" si="3"/>
        <v>0</v>
      </c>
      <c r="L25" s="13">
        <f t="shared" ca="1" si="8"/>
        <v>63196.298363377384</v>
      </c>
      <c r="M25" s="13">
        <f t="shared" ca="1" si="11"/>
        <v>458.05376058204189</v>
      </c>
      <c r="N25" s="13">
        <f t="shared" ca="1" si="4"/>
        <v>0</v>
      </c>
      <c r="O25" s="13">
        <f t="shared" si="1"/>
        <v>0</v>
      </c>
      <c r="P25" s="13">
        <f ca="1">L25-M25-N25-O25</f>
        <v>62738.244602795341</v>
      </c>
      <c r="R25" s="48">
        <f ca="1">AVERAGE(F3:F52)</f>
        <v>427.2054978935771</v>
      </c>
      <c r="T25" s="29" t="s">
        <v>38</v>
      </c>
      <c r="U25" s="29"/>
      <c r="V25" s="65"/>
      <c r="W25" s="30"/>
    </row>
    <row r="26" spans="2:23" x14ac:dyDescent="0.2">
      <c r="B26" s="9">
        <v>24</v>
      </c>
      <c r="C26" s="39">
        <f t="shared" ca="1" si="12"/>
        <v>796.99172112954307</v>
      </c>
      <c r="D26" s="38">
        <f t="shared" ca="1" si="5"/>
        <v>257.84225378877386</v>
      </c>
      <c r="E26" s="34">
        <f t="shared" ca="1" si="9"/>
        <v>527.41698745915846</v>
      </c>
      <c r="F26" s="35">
        <f ca="1">Enunciado!R27</f>
        <v>539.14946734076921</v>
      </c>
      <c r="G26" s="10">
        <f t="shared" ca="1" si="6"/>
        <v>1</v>
      </c>
      <c r="H26" s="38">
        <f t="shared" ca="1" si="10"/>
        <v>2242.1577462112264</v>
      </c>
      <c r="I26" s="38">
        <f t="shared" ca="1" si="0"/>
        <v>1</v>
      </c>
      <c r="J26" s="38">
        <f t="shared" ca="1" si="7"/>
        <v>539.14946734076921</v>
      </c>
      <c r="K26" s="38">
        <f t="shared" ca="1" si="3"/>
        <v>0</v>
      </c>
      <c r="L26" s="13">
        <f t="shared" ca="1" si="8"/>
        <v>64697.936080892308</v>
      </c>
      <c r="M26" s="13">
        <f t="shared" ca="1" si="11"/>
        <v>227.84413858235644</v>
      </c>
      <c r="N26" s="13">
        <f t="shared" ca="1" si="4"/>
        <v>0</v>
      </c>
      <c r="O26" s="13">
        <f t="shared" ca="1" si="1"/>
        <v>900</v>
      </c>
      <c r="P26" s="13">
        <f t="shared" ca="1" si="2"/>
        <v>63570.091942309955</v>
      </c>
      <c r="T26" s="29"/>
      <c r="U26" s="29"/>
      <c r="V26" s="65"/>
      <c r="W26" s="30"/>
    </row>
    <row r="27" spans="2:23" x14ac:dyDescent="0.2">
      <c r="B27" s="9">
        <v>25</v>
      </c>
      <c r="C27" s="39">
        <f t="shared" ca="1" si="12"/>
        <v>1434.2147129644193</v>
      </c>
      <c r="D27" s="38">
        <f t="shared" ca="1" si="5"/>
        <v>867.01901360083184</v>
      </c>
      <c r="E27" s="34">
        <f t="shared" ca="1" si="9"/>
        <v>1150.6168632826257</v>
      </c>
      <c r="F27" s="35">
        <f ca="1">Enunciado!R28</f>
        <v>567.19569936358744</v>
      </c>
      <c r="G27" s="10">
        <f t="shared" si="6"/>
        <v>0</v>
      </c>
      <c r="H27" s="38">
        <f t="shared" ca="1" si="10"/>
        <v>0</v>
      </c>
      <c r="I27" s="38">
        <f t="shared" ca="1" si="0"/>
        <v>1</v>
      </c>
      <c r="J27" s="38">
        <f t="shared" ca="1" si="7"/>
        <v>567.19569936358744</v>
      </c>
      <c r="K27" s="38">
        <f t="shared" ca="1" si="3"/>
        <v>0</v>
      </c>
      <c r="L27" s="13">
        <f t="shared" ca="1" si="8"/>
        <v>68063.483923630498</v>
      </c>
      <c r="M27" s="13">
        <f t="shared" ca="1" si="11"/>
        <v>497.06648493809433</v>
      </c>
      <c r="N27" s="13">
        <f t="shared" ca="1" si="4"/>
        <v>0</v>
      </c>
      <c r="O27" s="13">
        <f t="shared" si="1"/>
        <v>0</v>
      </c>
      <c r="P27" s="13">
        <f t="shared" ca="1" si="2"/>
        <v>67566.417438692399</v>
      </c>
      <c r="R27" s="12" t="s">
        <v>39</v>
      </c>
      <c r="T27" s="29"/>
      <c r="U27" s="29"/>
      <c r="V27" s="65"/>
      <c r="W27" s="30"/>
    </row>
    <row r="28" spans="2:23" x14ac:dyDescent="0.2">
      <c r="B28" s="9">
        <v>26</v>
      </c>
      <c r="C28" s="39">
        <f ca="1">D27+I26*H26 + (1-I25)*H25</f>
        <v>3109.1767598120582</v>
      </c>
      <c r="D28" s="38">
        <f t="shared" ca="1" si="5"/>
        <v>2509.3641079486556</v>
      </c>
      <c r="E28" s="34">
        <f t="shared" ca="1" si="9"/>
        <v>2809.2704338803569</v>
      </c>
      <c r="F28" s="35">
        <f ca="1">Enunciado!R29</f>
        <v>599.81265186340249</v>
      </c>
      <c r="G28" s="10">
        <f t="shared" ca="1" si="6"/>
        <v>0</v>
      </c>
      <c r="H28" s="38">
        <f t="shared" ca="1" si="10"/>
        <v>0</v>
      </c>
      <c r="I28" s="38">
        <f t="shared" ca="1" si="0"/>
        <v>1</v>
      </c>
      <c r="J28" s="38">
        <f t="shared" ca="1" si="7"/>
        <v>599.81265186340249</v>
      </c>
      <c r="K28" s="38">
        <f t="shared" ca="1" si="3"/>
        <v>0</v>
      </c>
      <c r="L28" s="13">
        <f t="shared" ca="1" si="8"/>
        <v>71977.518223608306</v>
      </c>
      <c r="M28" s="13">
        <f t="shared" ca="1" si="11"/>
        <v>1213.6048274363141</v>
      </c>
      <c r="N28" s="13">
        <f t="shared" ca="1" si="4"/>
        <v>0</v>
      </c>
      <c r="O28" s="13">
        <f t="shared" ca="1" si="1"/>
        <v>0</v>
      </c>
      <c r="P28" s="13">
        <f t="shared" ca="1" si="2"/>
        <v>70763.913396171993</v>
      </c>
      <c r="R28" s="50">
        <f ca="1">SUM(E3:E52)/COUNT(E3:E52)</f>
        <v>1830.1537535394607</v>
      </c>
      <c r="T28" s="29"/>
      <c r="U28" s="29"/>
      <c r="V28" s="65"/>
      <c r="W28" s="30"/>
    </row>
    <row r="29" spans="2:23" x14ac:dyDescent="0.2">
      <c r="B29" s="9">
        <v>27</v>
      </c>
      <c r="C29" s="39">
        <f t="shared" ca="1" si="12"/>
        <v>2509.3641079486556</v>
      </c>
      <c r="D29" s="38">
        <f t="shared" ca="1" si="5"/>
        <v>1914.5292482758787</v>
      </c>
      <c r="E29" s="34">
        <f t="shared" ca="1" si="9"/>
        <v>2211.9466781122674</v>
      </c>
      <c r="F29" s="35">
        <f ca="1">Enunciado!R30</f>
        <v>594.83485967277682</v>
      </c>
      <c r="G29" s="10">
        <f t="shared" si="6"/>
        <v>0</v>
      </c>
      <c r="H29" s="38">
        <f t="shared" ca="1" si="10"/>
        <v>0</v>
      </c>
      <c r="I29" s="38">
        <f t="shared" ca="1" si="0"/>
        <v>0</v>
      </c>
      <c r="J29" s="38">
        <f t="shared" ca="1" si="7"/>
        <v>594.83485967277682</v>
      </c>
      <c r="K29" s="38">
        <f t="shared" ca="1" si="3"/>
        <v>0</v>
      </c>
      <c r="L29" s="13">
        <f t="shared" ca="1" si="8"/>
        <v>71380.183160733213</v>
      </c>
      <c r="M29" s="13">
        <f t="shared" ca="1" si="11"/>
        <v>955.56096494449946</v>
      </c>
      <c r="N29" s="13">
        <f t="shared" ca="1" si="4"/>
        <v>0</v>
      </c>
      <c r="O29" s="13">
        <f t="shared" si="1"/>
        <v>0</v>
      </c>
      <c r="P29" s="13">
        <f t="shared" ca="1" si="2"/>
        <v>70424.622195788717</v>
      </c>
      <c r="V29" s="65"/>
    </row>
    <row r="30" spans="2:23" x14ac:dyDescent="0.2">
      <c r="B30" s="9">
        <v>28</v>
      </c>
      <c r="C30" s="39">
        <f t="shared" ca="1" si="12"/>
        <v>1914.5292482758787</v>
      </c>
      <c r="D30" s="38">
        <f t="shared" ca="1" si="5"/>
        <v>1374.4435690822093</v>
      </c>
      <c r="E30" s="34">
        <f t="shared" ca="1" si="9"/>
        <v>1644.486408679044</v>
      </c>
      <c r="F30" s="35">
        <f ca="1">Enunciado!R31</f>
        <v>540.08567919366942</v>
      </c>
      <c r="G30" s="10">
        <f t="shared" ca="1" si="6"/>
        <v>1</v>
      </c>
      <c r="H30" s="38">
        <f t="shared" ca="1" si="10"/>
        <v>1125.5564309177907</v>
      </c>
      <c r="I30" s="38">
        <f t="shared" ca="1" si="0"/>
        <v>0</v>
      </c>
      <c r="J30" s="38">
        <f t="shared" ca="1" si="7"/>
        <v>540.08567919366942</v>
      </c>
      <c r="K30" s="38">
        <f t="shared" ca="1" si="3"/>
        <v>0</v>
      </c>
      <c r="L30" s="13">
        <f t="shared" ca="1" si="8"/>
        <v>64810.28150324033</v>
      </c>
      <c r="M30" s="13">
        <f t="shared" ca="1" si="11"/>
        <v>710.41812854934699</v>
      </c>
      <c r="N30" s="13">
        <f t="shared" ca="1" si="4"/>
        <v>0</v>
      </c>
      <c r="O30" s="13">
        <f t="shared" ca="1" si="1"/>
        <v>900</v>
      </c>
      <c r="P30" s="13">
        <f t="shared" ca="1" si="2"/>
        <v>63199.863374690984</v>
      </c>
      <c r="R30" s="12" t="s">
        <v>41</v>
      </c>
      <c r="V30" s="65"/>
    </row>
    <row r="31" spans="2:23" x14ac:dyDescent="0.2">
      <c r="B31" s="9">
        <v>29</v>
      </c>
      <c r="C31" s="39">
        <f t="shared" ca="1" si="12"/>
        <v>1374.4435690822093</v>
      </c>
      <c r="D31" s="38">
        <f t="shared" ca="1" si="5"/>
        <v>1037.2890678293511</v>
      </c>
      <c r="E31" s="34">
        <f t="shared" ca="1" si="9"/>
        <v>1205.8663184557802</v>
      </c>
      <c r="F31" s="35">
        <f ca="1">Enunciado!R32</f>
        <v>337.15450125285804</v>
      </c>
      <c r="G31" s="10">
        <f t="shared" si="6"/>
        <v>0</v>
      </c>
      <c r="H31" s="38">
        <f t="shared" ca="1" si="10"/>
        <v>0</v>
      </c>
      <c r="I31" s="38">
        <f t="shared" ca="1" si="0"/>
        <v>1</v>
      </c>
      <c r="J31" s="38">
        <f t="shared" ca="1" si="7"/>
        <v>337.15450125285804</v>
      </c>
      <c r="K31" s="38">
        <f t="shared" ca="1" si="3"/>
        <v>0</v>
      </c>
      <c r="L31" s="13">
        <f t="shared" ca="1" si="8"/>
        <v>40458.540150342968</v>
      </c>
      <c r="M31" s="13">
        <f t="shared" ca="1" si="11"/>
        <v>520.93424957289699</v>
      </c>
      <c r="N31" s="13">
        <f t="shared" ca="1" si="4"/>
        <v>0</v>
      </c>
      <c r="O31" s="13">
        <f t="shared" si="1"/>
        <v>0</v>
      </c>
      <c r="P31" s="13">
        <f t="shared" ca="1" si="2"/>
        <v>39937.605900770068</v>
      </c>
      <c r="R31" s="27">
        <f ca="1">SUM(M3:M52)/COUNT(M3:M52)</f>
        <v>786.75300279742657</v>
      </c>
      <c r="V31" s="65"/>
    </row>
    <row r="32" spans="2:23" x14ac:dyDescent="0.2">
      <c r="B32" s="9">
        <v>30</v>
      </c>
      <c r="C32" s="39">
        <f t="shared" ca="1" si="12"/>
        <v>1037.2890678293511</v>
      </c>
      <c r="D32" s="38">
        <f t="shared" ca="1" si="5"/>
        <v>686.58981796415173</v>
      </c>
      <c r="E32" s="34">
        <f t="shared" ca="1" si="9"/>
        <v>861.93944289675142</v>
      </c>
      <c r="F32" s="35">
        <f ca="1">Enunciado!R33</f>
        <v>350.69924986519942</v>
      </c>
      <c r="G32" s="10">
        <f t="shared" ca="1" si="6"/>
        <v>1</v>
      </c>
      <c r="H32" s="38">
        <f t="shared" ca="1" si="10"/>
        <v>1813.4101820358483</v>
      </c>
      <c r="I32" s="38">
        <f t="shared" ca="1" si="0"/>
        <v>1</v>
      </c>
      <c r="J32" s="38">
        <f t="shared" ca="1" si="7"/>
        <v>350.69924986519942</v>
      </c>
      <c r="K32" s="38">
        <f t="shared" ca="1" si="3"/>
        <v>0</v>
      </c>
      <c r="L32" s="13">
        <f t="shared" ca="1" si="8"/>
        <v>42083.909983823927</v>
      </c>
      <c r="M32" s="13">
        <f t="shared" ca="1" si="11"/>
        <v>372.35783933139658</v>
      </c>
      <c r="N32" s="13">
        <f t="shared" ca="1" si="4"/>
        <v>0</v>
      </c>
      <c r="O32" s="13">
        <f t="shared" ca="1" si="1"/>
        <v>900</v>
      </c>
      <c r="P32" s="13">
        <f t="shared" ca="1" si="2"/>
        <v>40811.552144492533</v>
      </c>
      <c r="V32" s="65"/>
    </row>
    <row r="33" spans="2:22" x14ac:dyDescent="0.2">
      <c r="B33" s="9">
        <v>31</v>
      </c>
      <c r="C33" s="39">
        <f t="shared" ca="1" si="12"/>
        <v>1812.1462488819425</v>
      </c>
      <c r="D33" s="38">
        <f t="shared" ca="1" si="5"/>
        <v>1462.2155925171517</v>
      </c>
      <c r="E33" s="34">
        <f t="shared" ca="1" si="9"/>
        <v>1637.1809206995472</v>
      </c>
      <c r="F33" s="35">
        <f ca="1">Enunciado!R34</f>
        <v>349.93065636479088</v>
      </c>
      <c r="G33" s="10">
        <f t="shared" si="6"/>
        <v>0</v>
      </c>
      <c r="H33" s="38">
        <f t="shared" ca="1" si="10"/>
        <v>0</v>
      </c>
      <c r="I33" s="38">
        <f t="shared" ca="1" si="0"/>
        <v>1</v>
      </c>
      <c r="J33" s="38">
        <f t="shared" ca="1" si="7"/>
        <v>349.93065636479088</v>
      </c>
      <c r="K33" s="38">
        <f t="shared" ca="1" si="3"/>
        <v>0</v>
      </c>
      <c r="L33" s="13">
        <f t="shared" ca="1" si="8"/>
        <v>41991.678763774908</v>
      </c>
      <c r="M33" s="13">
        <f t="shared" ca="1" si="11"/>
        <v>707.26215774220429</v>
      </c>
      <c r="N33" s="13">
        <f t="shared" ca="1" si="4"/>
        <v>0</v>
      </c>
      <c r="O33" s="13">
        <f t="shared" si="1"/>
        <v>0</v>
      </c>
      <c r="P33" s="13">
        <f t="shared" ca="1" si="2"/>
        <v>41284.416606032704</v>
      </c>
      <c r="R33" s="12" t="s">
        <v>75</v>
      </c>
      <c r="V33" s="65"/>
    </row>
    <row r="34" spans="2:22" x14ac:dyDescent="0.2">
      <c r="B34" s="9">
        <v>32</v>
      </c>
      <c r="C34" s="39">
        <f t="shared" ca="1" si="12"/>
        <v>3275.6257745530002</v>
      </c>
      <c r="D34" s="38">
        <f t="shared" ca="1" si="5"/>
        <v>2937.7238566343808</v>
      </c>
      <c r="E34" s="34">
        <f t="shared" ca="1" si="9"/>
        <v>3106.6748155936903</v>
      </c>
      <c r="F34" s="35">
        <f ca="1">Enunciado!R35</f>
        <v>337.90191791861918</v>
      </c>
      <c r="G34" s="10">
        <f t="shared" ca="1" si="6"/>
        <v>0</v>
      </c>
      <c r="H34" s="38">
        <f t="shared" ca="1" si="10"/>
        <v>0</v>
      </c>
      <c r="I34" s="38">
        <f t="shared" ca="1" si="0"/>
        <v>0</v>
      </c>
      <c r="J34" s="38">
        <f t="shared" ca="1" si="7"/>
        <v>337.90191791861918</v>
      </c>
      <c r="K34" s="38">
        <f t="shared" ca="1" si="3"/>
        <v>0</v>
      </c>
      <c r="L34" s="13">
        <f t="shared" ca="1" si="8"/>
        <v>40548.230150234303</v>
      </c>
      <c r="M34" s="13">
        <f t="shared" ca="1" si="11"/>
        <v>1342.0835203364741</v>
      </c>
      <c r="N34" s="13">
        <f t="shared" ca="1" si="4"/>
        <v>0</v>
      </c>
      <c r="O34" s="13">
        <f t="shared" ca="1" si="1"/>
        <v>0</v>
      </c>
      <c r="P34" s="13">
        <f t="shared" ca="1" si="2"/>
        <v>39206.146629897827</v>
      </c>
      <c r="R34" s="27">
        <f ca="1">SUM(M3:O52)/50</f>
        <v>1182.7530027974262</v>
      </c>
      <c r="V34" s="65"/>
    </row>
    <row r="35" spans="2:22" x14ac:dyDescent="0.2">
      <c r="B35" s="9">
        <v>33</v>
      </c>
      <c r="C35" s="39">
        <f t="shared" ca="1" si="12"/>
        <v>2937.7238566343808</v>
      </c>
      <c r="D35" s="38">
        <f t="shared" ca="1" si="5"/>
        <v>2596.3459169837829</v>
      </c>
      <c r="E35" s="34">
        <f t="shared" ca="1" si="9"/>
        <v>2767.0348868090819</v>
      </c>
      <c r="F35" s="35">
        <f ca="1">Enunciado!R36</f>
        <v>341.37793965059808</v>
      </c>
      <c r="G35" s="10">
        <f t="shared" si="6"/>
        <v>0</v>
      </c>
      <c r="H35" s="38">
        <f t="shared" ca="1" si="10"/>
        <v>0</v>
      </c>
      <c r="I35" s="38">
        <f t="shared" ca="1" si="0"/>
        <v>1</v>
      </c>
      <c r="J35" s="38">
        <f t="shared" ca="1" si="7"/>
        <v>341.37793965059808</v>
      </c>
      <c r="K35" s="38">
        <f t="shared" ca="1" si="3"/>
        <v>0</v>
      </c>
      <c r="L35" s="13">
        <f t="shared" ca="1" si="8"/>
        <v>40965.352758071771</v>
      </c>
      <c r="M35" s="13">
        <f t="shared" ca="1" si="11"/>
        <v>1195.3590711015231</v>
      </c>
      <c r="N35" s="13">
        <f t="shared" ca="1" si="4"/>
        <v>0</v>
      </c>
      <c r="O35" s="13">
        <f t="shared" si="1"/>
        <v>0</v>
      </c>
      <c r="P35" s="13">
        <f t="shared" ca="1" si="2"/>
        <v>39769.993686970251</v>
      </c>
      <c r="V35" s="65"/>
    </row>
    <row r="36" spans="2:22" x14ac:dyDescent="0.2">
      <c r="B36" s="9">
        <v>34</v>
      </c>
      <c r="C36" s="39">
        <f t="shared" ca="1" si="12"/>
        <v>2596.3459169837829</v>
      </c>
      <c r="D36" s="38">
        <f t="shared" ca="1" si="5"/>
        <v>2226.1291641536086</v>
      </c>
      <c r="E36" s="34">
        <f t="shared" ca="1" si="9"/>
        <v>2411.2375405686957</v>
      </c>
      <c r="F36" s="35">
        <f ca="1">Enunciado!R37</f>
        <v>370.2167528301743</v>
      </c>
      <c r="G36" s="10">
        <f t="shared" ca="1" si="6"/>
        <v>1</v>
      </c>
      <c r="H36" s="38">
        <f t="shared" ca="1" si="10"/>
        <v>273.8708358463914</v>
      </c>
      <c r="I36" s="38">
        <f t="shared" ca="1" si="0"/>
        <v>0</v>
      </c>
      <c r="J36" s="38">
        <f t="shared" ca="1" si="7"/>
        <v>370.2167528301743</v>
      </c>
      <c r="K36" s="38">
        <f t="shared" ca="1" si="3"/>
        <v>0</v>
      </c>
      <c r="L36" s="13">
        <f t="shared" ca="1" si="8"/>
        <v>44426.010339620916</v>
      </c>
      <c r="M36" s="13">
        <f t="shared" ca="1" si="11"/>
        <v>1041.6546175256765</v>
      </c>
      <c r="N36" s="13">
        <f t="shared" ca="1" si="4"/>
        <v>0</v>
      </c>
      <c r="O36" s="13">
        <f t="shared" ca="1" si="1"/>
        <v>900</v>
      </c>
      <c r="P36" s="13">
        <f t="shared" ca="1" si="2"/>
        <v>42484.355722095243</v>
      </c>
      <c r="R36" s="12" t="s">
        <v>22</v>
      </c>
      <c r="V36" s="65"/>
    </row>
    <row r="37" spans="2:22" x14ac:dyDescent="0.2">
      <c r="B37" s="9">
        <v>35</v>
      </c>
      <c r="C37" s="39">
        <f t="shared" ca="1" si="12"/>
        <v>2226.1291641536086</v>
      </c>
      <c r="D37" s="38">
        <f t="shared" ca="1" si="5"/>
        <v>1885.5885628067917</v>
      </c>
      <c r="E37" s="34">
        <f t="shared" ca="1" si="9"/>
        <v>2055.8588634801999</v>
      </c>
      <c r="F37" s="35">
        <f ca="1">Enunciado!R38</f>
        <v>340.54060134681686</v>
      </c>
      <c r="G37" s="10">
        <f t="shared" si="6"/>
        <v>0</v>
      </c>
      <c r="H37" s="38">
        <f t="shared" ca="1" si="10"/>
        <v>0</v>
      </c>
      <c r="I37" s="38">
        <f t="shared" ca="1" si="0"/>
        <v>1</v>
      </c>
      <c r="J37" s="38">
        <f t="shared" ca="1" si="7"/>
        <v>340.54060134681686</v>
      </c>
      <c r="K37" s="38">
        <f t="shared" ca="1" si="3"/>
        <v>0</v>
      </c>
      <c r="L37" s="13">
        <f t="shared" ca="1" si="8"/>
        <v>40864.872161618026</v>
      </c>
      <c r="M37" s="13">
        <f t="shared" ca="1" si="11"/>
        <v>888.13102902344644</v>
      </c>
      <c r="N37" s="13">
        <f t="shared" ca="1" si="4"/>
        <v>0</v>
      </c>
      <c r="O37" s="13">
        <f t="shared" si="1"/>
        <v>0</v>
      </c>
      <c r="P37" s="13">
        <f t="shared" ca="1" si="2"/>
        <v>39976.74113259458</v>
      </c>
      <c r="R37" s="45">
        <f ca="1">SUM(K3:K52)</f>
        <v>0</v>
      </c>
      <c r="V37" s="65"/>
    </row>
    <row r="38" spans="2:22" x14ac:dyDescent="0.2">
      <c r="B38" s="9">
        <v>36</v>
      </c>
      <c r="C38" s="39">
        <f t="shared" ca="1" si="12"/>
        <v>1885.5885628067917</v>
      </c>
      <c r="D38" s="38">
        <f t="shared" ca="1" si="5"/>
        <v>1558.8817724007811</v>
      </c>
      <c r="E38" s="34">
        <f t="shared" ca="1" si="9"/>
        <v>1722.2351676037865</v>
      </c>
      <c r="F38" s="35">
        <f ca="1">Enunciado!R39</f>
        <v>326.70679040601067</v>
      </c>
      <c r="G38" s="10">
        <f t="shared" ca="1" si="6"/>
        <v>1</v>
      </c>
      <c r="H38" s="38">
        <f t="shared" ca="1" si="10"/>
        <v>941.11822759921893</v>
      </c>
      <c r="I38" s="38">
        <f t="shared" ca="1" si="0"/>
        <v>1</v>
      </c>
      <c r="J38" s="38">
        <f t="shared" ca="1" si="7"/>
        <v>326.70679040601067</v>
      </c>
      <c r="K38" s="38">
        <f t="shared" ca="1" si="3"/>
        <v>0</v>
      </c>
      <c r="L38" s="13">
        <f t="shared" ca="1" si="8"/>
        <v>39204.814848721282</v>
      </c>
      <c r="M38" s="13">
        <f t="shared" ca="1" si="11"/>
        <v>744.00559240483574</v>
      </c>
      <c r="N38" s="13">
        <f t="shared" ca="1" si="4"/>
        <v>0</v>
      </c>
      <c r="O38" s="13">
        <f t="shared" ca="1" si="1"/>
        <v>900</v>
      </c>
      <c r="P38" s="13">
        <f t="shared" ca="1" si="2"/>
        <v>37560.809256316446</v>
      </c>
      <c r="V38" s="65"/>
    </row>
    <row r="39" spans="2:22" x14ac:dyDescent="0.2">
      <c r="B39" s="9">
        <v>37</v>
      </c>
      <c r="C39" s="39">
        <f t="shared" ca="1" si="12"/>
        <v>1832.7526082471725</v>
      </c>
      <c r="D39" s="38">
        <f t="shared" ca="1" si="5"/>
        <v>1475.7969423006809</v>
      </c>
      <c r="E39" s="34">
        <f t="shared" ca="1" si="9"/>
        <v>1654.2747752739267</v>
      </c>
      <c r="F39" s="35">
        <f ca="1">Enunciado!R40</f>
        <v>356.95566594649159</v>
      </c>
      <c r="G39" s="10">
        <f t="shared" si="6"/>
        <v>0</v>
      </c>
      <c r="H39" s="38">
        <f t="shared" ca="1" si="10"/>
        <v>0</v>
      </c>
      <c r="I39" s="38">
        <f t="shared" ca="1" si="0"/>
        <v>1</v>
      </c>
      <c r="J39" s="38">
        <f t="shared" ca="1" si="7"/>
        <v>356.95566594649159</v>
      </c>
      <c r="K39" s="38">
        <f t="shared" ca="1" si="3"/>
        <v>0</v>
      </c>
      <c r="L39" s="13">
        <f t="shared" ca="1" si="8"/>
        <v>42834.679913578992</v>
      </c>
      <c r="M39" s="13">
        <f t="shared" ca="1" si="11"/>
        <v>714.64670291833625</v>
      </c>
      <c r="N39" s="13">
        <f t="shared" ca="1" si="4"/>
        <v>0</v>
      </c>
      <c r="O39" s="13">
        <f t="shared" si="1"/>
        <v>0</v>
      </c>
      <c r="P39" s="13">
        <f t="shared" ca="1" si="2"/>
        <v>42120.033210660658</v>
      </c>
      <c r="R39" s="12" t="s">
        <v>69</v>
      </c>
      <c r="V39" s="65"/>
    </row>
    <row r="40" spans="2:22" x14ac:dyDescent="0.2">
      <c r="B40" s="9">
        <v>38</v>
      </c>
      <c r="C40" s="39">
        <f t="shared" ca="1" si="12"/>
        <v>2416.9151698998999</v>
      </c>
      <c r="D40" s="38">
        <f t="shared" ca="1" si="5"/>
        <v>2090.5214436489459</v>
      </c>
      <c r="E40" s="34">
        <f t="shared" ca="1" si="9"/>
        <v>2253.7183067744227</v>
      </c>
      <c r="F40" s="35">
        <f ca="1">Enunciado!R41</f>
        <v>326.39372625095388</v>
      </c>
      <c r="G40" s="10">
        <f t="shared" ca="1" si="6"/>
        <v>1</v>
      </c>
      <c r="H40" s="38">
        <f t="shared" ca="1" si="10"/>
        <v>409.47855635105407</v>
      </c>
      <c r="I40" s="38">
        <f t="shared" ca="1" si="0"/>
        <v>1</v>
      </c>
      <c r="J40" s="38">
        <f t="shared" ca="1" si="7"/>
        <v>326.39372625095388</v>
      </c>
      <c r="K40" s="38">
        <f t="shared" ca="1" si="3"/>
        <v>0</v>
      </c>
      <c r="L40" s="13">
        <f t="shared" ca="1" si="8"/>
        <v>39167.247150114468</v>
      </c>
      <c r="M40" s="13">
        <f t="shared" ca="1" si="11"/>
        <v>973.60630852655061</v>
      </c>
      <c r="N40" s="13">
        <f t="shared" ca="1" si="4"/>
        <v>0</v>
      </c>
      <c r="O40" s="13">
        <f t="shared" ca="1" si="1"/>
        <v>900</v>
      </c>
      <c r="P40" s="13">
        <f t="shared" ca="1" si="2"/>
        <v>37293.64084158792</v>
      </c>
      <c r="R40" s="49">
        <f ca="1">1-(R37/SUM(F3:F52))</f>
        <v>1</v>
      </c>
      <c r="V40" s="65"/>
    </row>
    <row r="41" spans="2:22" x14ac:dyDescent="0.2">
      <c r="B41" s="9">
        <v>39</v>
      </c>
      <c r="C41" s="39">
        <f t="shared" ca="1" si="12"/>
        <v>2090.5214436489459</v>
      </c>
      <c r="D41" s="38">
        <f t="shared" ca="1" si="5"/>
        <v>1721.1849251202887</v>
      </c>
      <c r="E41" s="34">
        <f t="shared" ca="1" si="9"/>
        <v>1905.8531843846172</v>
      </c>
      <c r="F41" s="35">
        <f ca="1">Enunciado!R42</f>
        <v>369.33651852865722</v>
      </c>
      <c r="G41" s="10">
        <f t="shared" si="6"/>
        <v>0</v>
      </c>
      <c r="H41" s="38">
        <f t="shared" ca="1" si="10"/>
        <v>0</v>
      </c>
      <c r="I41" s="38">
        <f t="shared" ca="1" si="0"/>
        <v>1</v>
      </c>
      <c r="J41" s="38">
        <f t="shared" ca="1" si="7"/>
        <v>369.33651852865722</v>
      </c>
      <c r="K41" s="38">
        <f t="shared" ca="1" si="3"/>
        <v>0</v>
      </c>
      <c r="L41" s="13">
        <f t="shared" ca="1" si="8"/>
        <v>44320.382223438864</v>
      </c>
      <c r="M41" s="13">
        <f t="shared" ca="1" si="11"/>
        <v>823.32857565415452</v>
      </c>
      <c r="N41" s="13">
        <f t="shared" ca="1" si="4"/>
        <v>0</v>
      </c>
      <c r="O41" s="13">
        <f t="shared" si="1"/>
        <v>0</v>
      </c>
      <c r="P41" s="13">
        <f t="shared" ca="1" si="2"/>
        <v>43497.053647784713</v>
      </c>
      <c r="V41" s="65"/>
    </row>
    <row r="42" spans="2:22" x14ac:dyDescent="0.2">
      <c r="B42" s="9">
        <v>40</v>
      </c>
      <c r="C42" s="39">
        <f t="shared" ca="1" si="12"/>
        <v>2130.6634814713425</v>
      </c>
      <c r="D42" s="38">
        <f t="shared" ca="1" si="5"/>
        <v>1810.777738294993</v>
      </c>
      <c r="E42" s="34">
        <f t="shared" ca="1" si="9"/>
        <v>1970.7206098831678</v>
      </c>
      <c r="F42" s="35">
        <f ca="1">Enunciado!R43</f>
        <v>319.88574317634937</v>
      </c>
      <c r="G42" s="10">
        <f t="shared" ca="1" si="6"/>
        <v>1</v>
      </c>
      <c r="H42" s="38">
        <f t="shared" ca="1" si="10"/>
        <v>689.22226170500699</v>
      </c>
      <c r="I42" s="38">
        <f t="shared" ca="1" si="0"/>
        <v>1</v>
      </c>
      <c r="J42" s="38">
        <f t="shared" ca="1" si="7"/>
        <v>319.88574317634937</v>
      </c>
      <c r="K42" s="38">
        <f t="shared" ca="1" si="3"/>
        <v>0</v>
      </c>
      <c r="L42" s="13">
        <f t="shared" ca="1" si="8"/>
        <v>38386.289181161927</v>
      </c>
      <c r="M42" s="13">
        <f t="shared" ca="1" si="11"/>
        <v>851.35130346952849</v>
      </c>
      <c r="N42" s="13">
        <f t="shared" ca="1" si="4"/>
        <v>0</v>
      </c>
      <c r="O42" s="13">
        <f t="shared" ca="1" si="1"/>
        <v>900</v>
      </c>
      <c r="P42" s="13">
        <f t="shared" ca="1" si="2"/>
        <v>36634.937877692399</v>
      </c>
      <c r="R42" s="12" t="s">
        <v>42</v>
      </c>
      <c r="V42" s="65"/>
    </row>
    <row r="43" spans="2:22" x14ac:dyDescent="0.2">
      <c r="B43" s="9">
        <v>41</v>
      </c>
      <c r="C43" s="39">
        <f t="shared" ca="1" si="12"/>
        <v>1810.777738294993</v>
      </c>
      <c r="D43" s="38">
        <f t="shared" ca="1" si="5"/>
        <v>1468.4635516203375</v>
      </c>
      <c r="E43" s="34">
        <f t="shared" ca="1" si="9"/>
        <v>1639.6206449576653</v>
      </c>
      <c r="F43" s="35">
        <f ca="1">Enunciado!R44</f>
        <v>342.3141866746555</v>
      </c>
      <c r="G43" s="10">
        <f t="shared" si="6"/>
        <v>0</v>
      </c>
      <c r="H43" s="38">
        <f t="shared" ca="1" si="10"/>
        <v>0</v>
      </c>
      <c r="I43" s="38">
        <f t="shared" ca="1" si="0"/>
        <v>0</v>
      </c>
      <c r="J43" s="38">
        <f t="shared" ca="1" si="7"/>
        <v>342.3141866746555</v>
      </c>
      <c r="K43" s="38">
        <f t="shared" ca="1" si="3"/>
        <v>0</v>
      </c>
      <c r="L43" s="13">
        <f t="shared" ca="1" si="8"/>
        <v>41077.70240095866</v>
      </c>
      <c r="M43" s="13">
        <f t="shared" ca="1" si="11"/>
        <v>708.31611862171133</v>
      </c>
      <c r="N43" s="13">
        <f t="shared" ca="1" si="4"/>
        <v>0</v>
      </c>
      <c r="O43" s="13">
        <f t="shared" si="1"/>
        <v>0</v>
      </c>
      <c r="P43" s="13">
        <f t="shared" ca="1" si="2"/>
        <v>40369.386282336949</v>
      </c>
      <c r="R43" s="27">
        <f ca="1">AVERAGE(O3:O52)</f>
        <v>396</v>
      </c>
      <c r="V43" s="65"/>
    </row>
    <row r="44" spans="2:22" x14ac:dyDescent="0.2">
      <c r="B44" s="9">
        <v>42</v>
      </c>
      <c r="C44" s="39">
        <f t="shared" ca="1" si="12"/>
        <v>2157.6858133253445</v>
      </c>
      <c r="D44" s="38">
        <f t="shared" ca="1" si="5"/>
        <v>1832.633254225128</v>
      </c>
      <c r="E44" s="34">
        <f t="shared" ca="1" si="9"/>
        <v>1995.1595337752362</v>
      </c>
      <c r="F44" s="35">
        <f ca="1">Enunciado!R45</f>
        <v>325.0525591002164</v>
      </c>
      <c r="G44" s="10">
        <f t="shared" ca="1" si="6"/>
        <v>1</v>
      </c>
      <c r="H44" s="38">
        <f t="shared" ca="1" si="10"/>
        <v>667.36674577487202</v>
      </c>
      <c r="I44" s="38">
        <f t="shared" ca="1" si="0"/>
        <v>1</v>
      </c>
      <c r="J44" s="38">
        <f t="shared" ca="1" si="7"/>
        <v>325.0525591002164</v>
      </c>
      <c r="K44" s="38">
        <f t="shared" ca="1" si="3"/>
        <v>0</v>
      </c>
      <c r="L44" s="13">
        <f t="shared" ca="1" si="8"/>
        <v>39006.307092025971</v>
      </c>
      <c r="M44" s="13">
        <f t="shared" ca="1" si="11"/>
        <v>861.90891859090209</v>
      </c>
      <c r="N44" s="13">
        <f t="shared" ca="1" si="4"/>
        <v>0</v>
      </c>
      <c r="O44" s="13">
        <f t="shared" ca="1" si="1"/>
        <v>900</v>
      </c>
      <c r="P44" s="13">
        <f t="shared" ca="1" si="2"/>
        <v>37244.398173435067</v>
      </c>
      <c r="V44" s="65"/>
    </row>
    <row r="45" spans="2:22" x14ac:dyDescent="0.2">
      <c r="B45" s="9">
        <v>43</v>
      </c>
      <c r="C45" s="39">
        <f t="shared" ca="1" si="12"/>
        <v>1832.633254225128</v>
      </c>
      <c r="D45" s="38">
        <f t="shared" ca="1" si="5"/>
        <v>1472.8484884454342</v>
      </c>
      <c r="E45" s="34">
        <f t="shared" ca="1" si="9"/>
        <v>1652.7408713352811</v>
      </c>
      <c r="F45" s="35">
        <f ca="1">Enunciado!R46</f>
        <v>359.78476577969383</v>
      </c>
      <c r="G45" s="10">
        <f t="shared" si="6"/>
        <v>0</v>
      </c>
      <c r="H45" s="38">
        <f t="shared" ca="1" si="10"/>
        <v>0</v>
      </c>
      <c r="I45" s="38">
        <f t="shared" ca="1" si="0"/>
        <v>1</v>
      </c>
      <c r="J45" s="38">
        <f t="shared" ca="1" si="7"/>
        <v>359.78476577969383</v>
      </c>
      <c r="K45" s="38">
        <f t="shared" ca="1" si="3"/>
        <v>0</v>
      </c>
      <c r="L45" s="13">
        <f t="shared" ca="1" si="8"/>
        <v>43174.17189356326</v>
      </c>
      <c r="M45" s="13">
        <f t="shared" ca="1" si="11"/>
        <v>713.98405641684144</v>
      </c>
      <c r="N45" s="13">
        <f t="shared" ca="1" si="4"/>
        <v>0</v>
      </c>
      <c r="O45" s="13">
        <f t="shared" si="1"/>
        <v>0</v>
      </c>
      <c r="P45" s="13">
        <f ca="1">L45-M45-N45-O45</f>
        <v>42460.187837146419</v>
      </c>
      <c r="R45" s="12" t="s">
        <v>44</v>
      </c>
      <c r="V45" s="65"/>
    </row>
    <row r="46" spans="2:22" x14ac:dyDescent="0.2">
      <c r="B46" s="9">
        <v>44</v>
      </c>
      <c r="C46" s="39">
        <f t="shared" ca="1" si="12"/>
        <v>2140.2152342203062</v>
      </c>
      <c r="D46" s="38">
        <f t="shared" ca="1" si="5"/>
        <v>1808.8660923739606</v>
      </c>
      <c r="E46" s="34">
        <f t="shared" ca="1" si="9"/>
        <v>1974.5406632971335</v>
      </c>
      <c r="F46" s="35">
        <f ca="1">Enunciado!R47</f>
        <v>331.34914184634562</v>
      </c>
      <c r="G46" s="10">
        <f t="shared" ca="1" si="6"/>
        <v>1</v>
      </c>
      <c r="H46" s="38">
        <f t="shared" ca="1" si="10"/>
        <v>691.13390762603944</v>
      </c>
      <c r="I46" s="38">
        <f t="shared" ca="1" si="0"/>
        <v>0</v>
      </c>
      <c r="J46" s="38">
        <f t="shared" ca="1" si="7"/>
        <v>331.34914184634562</v>
      </c>
      <c r="K46" s="38">
        <f t="shared" ca="1" si="3"/>
        <v>0</v>
      </c>
      <c r="L46" s="13">
        <f t="shared" ca="1" si="8"/>
        <v>39761.897021561475</v>
      </c>
      <c r="M46" s="13">
        <f t="shared" ca="1" si="11"/>
        <v>853.00156654436159</v>
      </c>
      <c r="N46" s="13">
        <f t="shared" ca="1" si="4"/>
        <v>0</v>
      </c>
      <c r="O46" s="13">
        <f t="shared" ca="1" si="1"/>
        <v>900</v>
      </c>
      <c r="P46" s="13">
        <f t="shared" ca="1" si="2"/>
        <v>38008.895455017111</v>
      </c>
      <c r="R46" s="27">
        <f ca="1">AVERAGE(N3:N52)</f>
        <v>0</v>
      </c>
      <c r="V46" s="65"/>
    </row>
    <row r="47" spans="2:22" x14ac:dyDescent="0.2">
      <c r="B47" s="9">
        <v>45</v>
      </c>
      <c r="C47" s="39">
        <f t="shared" ca="1" si="12"/>
        <v>1808.8660923739606</v>
      </c>
      <c r="D47" s="38">
        <f t="shared" ca="1" si="5"/>
        <v>1453.763633499547</v>
      </c>
      <c r="E47" s="34">
        <f t="shared" ca="1" si="9"/>
        <v>1631.3148629367538</v>
      </c>
      <c r="F47" s="35">
        <f ca="1">Enunciado!R48</f>
        <v>355.10245887441346</v>
      </c>
      <c r="G47" s="10">
        <f t="shared" si="6"/>
        <v>0</v>
      </c>
      <c r="H47" s="38">
        <f t="shared" ca="1" si="10"/>
        <v>0</v>
      </c>
      <c r="I47" s="38">
        <f t="shared" ca="1" si="0"/>
        <v>1</v>
      </c>
      <c r="J47" s="38">
        <f t="shared" ca="1" si="7"/>
        <v>355.10245887441346</v>
      </c>
      <c r="K47" s="38">
        <f t="shared" ca="1" si="3"/>
        <v>0</v>
      </c>
      <c r="L47" s="13">
        <f t="shared" ca="1" si="8"/>
        <v>42612.295064929618</v>
      </c>
      <c r="M47" s="13">
        <f t="shared" ca="1" si="11"/>
        <v>704.72802078867755</v>
      </c>
      <c r="N47" s="13">
        <f t="shared" ca="1" si="4"/>
        <v>0</v>
      </c>
      <c r="O47" s="13">
        <f t="shared" si="1"/>
        <v>0</v>
      </c>
      <c r="P47" s="13">
        <f t="shared" ca="1" si="2"/>
        <v>41907.567044140938</v>
      </c>
      <c r="V47" s="65"/>
    </row>
    <row r="48" spans="2:22" x14ac:dyDescent="0.2">
      <c r="B48" s="9">
        <v>46</v>
      </c>
      <c r="C48" s="39">
        <f t="shared" ca="1" si="12"/>
        <v>1453.763633499547</v>
      </c>
      <c r="D48" s="38">
        <f t="shared" ca="1" si="5"/>
        <v>1113.2768361087485</v>
      </c>
      <c r="E48" s="34">
        <f t="shared" ca="1" si="9"/>
        <v>1283.5202348041478</v>
      </c>
      <c r="F48" s="35">
        <f ca="1">Enunciado!R49</f>
        <v>340.48679739079847</v>
      </c>
      <c r="G48" s="10">
        <f t="shared" ca="1" si="6"/>
        <v>1</v>
      </c>
      <c r="H48" s="38">
        <f t="shared" ca="1" si="10"/>
        <v>1386.7231638912515</v>
      </c>
      <c r="I48" s="38">
        <f t="shared" ca="1" si="0"/>
        <v>1</v>
      </c>
      <c r="J48" s="38">
        <f t="shared" ca="1" si="7"/>
        <v>340.48679739079847</v>
      </c>
      <c r="K48" s="38">
        <f t="shared" ca="1" si="3"/>
        <v>0</v>
      </c>
      <c r="L48" s="13">
        <f t="shared" ca="1" si="8"/>
        <v>40858.415686895816</v>
      </c>
      <c r="M48" s="13">
        <f t="shared" ca="1" si="11"/>
        <v>554.48074143539179</v>
      </c>
      <c r="N48" s="13">
        <f t="shared" ca="1" si="4"/>
        <v>0</v>
      </c>
      <c r="O48" s="13">
        <f t="shared" ca="1" si="1"/>
        <v>900</v>
      </c>
      <c r="P48" s="13">
        <f t="shared" ca="1" si="2"/>
        <v>39403.934945460423</v>
      </c>
      <c r="R48" s="12" t="s">
        <v>45</v>
      </c>
      <c r="V48" s="65"/>
    </row>
    <row r="49" spans="1:22" x14ac:dyDescent="0.2">
      <c r="B49" s="9">
        <v>47</v>
      </c>
      <c r="C49" s="39">
        <f t="shared" ca="1" si="12"/>
        <v>1804.410743734788</v>
      </c>
      <c r="D49" s="38">
        <f t="shared" ca="1" si="5"/>
        <v>1428.4596354834539</v>
      </c>
      <c r="E49" s="34">
        <f t="shared" ca="1" si="9"/>
        <v>1616.4351896091209</v>
      </c>
      <c r="F49" s="35">
        <f ca="1">Enunciado!R50</f>
        <v>375.95110825133406</v>
      </c>
      <c r="G49" s="10">
        <f t="shared" si="6"/>
        <v>0</v>
      </c>
      <c r="H49" s="38">
        <f t="shared" ca="1" si="10"/>
        <v>0</v>
      </c>
      <c r="I49" s="38">
        <f t="shared" ca="1" si="0"/>
        <v>1</v>
      </c>
      <c r="J49" s="38">
        <f t="shared" ca="1" si="7"/>
        <v>375.95110825133406</v>
      </c>
      <c r="K49" s="38">
        <f t="shared" ca="1" si="3"/>
        <v>0</v>
      </c>
      <c r="L49" s="13">
        <f t="shared" ca="1" si="8"/>
        <v>45114.132990160084</v>
      </c>
      <c r="M49" s="13">
        <f t="shared" ca="1" si="11"/>
        <v>698.30000191114016</v>
      </c>
      <c r="N49" s="13">
        <f t="shared" ca="1" si="4"/>
        <v>0</v>
      </c>
      <c r="O49" s="13">
        <f t="shared" si="1"/>
        <v>0</v>
      </c>
      <c r="P49" s="13">
        <f t="shared" ca="1" si="2"/>
        <v>44415.832988248942</v>
      </c>
      <c r="R49" s="27">
        <f ca="1">SUM(M3:M52)+SUM(N3:N52)+SUM(O3:O52)</f>
        <v>59137.65013987133</v>
      </c>
      <c r="V49" s="65"/>
    </row>
    <row r="50" spans="1:22" x14ac:dyDescent="0.2">
      <c r="B50" s="9">
        <v>48</v>
      </c>
      <c r="C50" s="39">
        <f t="shared" ca="1" si="12"/>
        <v>2815.1827993747056</v>
      </c>
      <c r="D50" s="38">
        <f t="shared" ca="1" si="5"/>
        <v>2446.3409247934969</v>
      </c>
      <c r="E50" s="34">
        <f t="shared" ca="1" si="9"/>
        <v>2630.7618620841013</v>
      </c>
      <c r="F50" s="35">
        <f ca="1">Enunciado!R51</f>
        <v>368.84187458120891</v>
      </c>
      <c r="G50" s="10">
        <f t="shared" ca="1" si="6"/>
        <v>1</v>
      </c>
      <c r="H50" s="38">
        <f t="shared" ca="1" si="10"/>
        <v>53.659075206503076</v>
      </c>
      <c r="I50" s="38">
        <f t="shared" ca="1" si="0"/>
        <v>1</v>
      </c>
      <c r="J50" s="38">
        <f t="shared" ca="1" si="7"/>
        <v>368.84187458120891</v>
      </c>
      <c r="K50" s="38">
        <f t="shared" ca="1" si="3"/>
        <v>0</v>
      </c>
      <c r="L50" s="13">
        <f t="shared" ca="1" si="8"/>
        <v>44261.024949745071</v>
      </c>
      <c r="M50" s="13">
        <f t="shared" ca="1" si="11"/>
        <v>1136.4891244203318</v>
      </c>
      <c r="N50" s="13">
        <f t="shared" ca="1" si="4"/>
        <v>0</v>
      </c>
      <c r="O50" s="13">
        <f t="shared" ca="1" si="1"/>
        <v>900</v>
      </c>
      <c r="P50" s="13">
        <f t="shared" ca="1" si="2"/>
        <v>42224.53582532474</v>
      </c>
      <c r="V50" s="65"/>
    </row>
    <row r="51" spans="1:22" x14ac:dyDescent="0.2">
      <c r="B51" s="9">
        <v>49</v>
      </c>
      <c r="C51" s="39">
        <f t="shared" ca="1" si="12"/>
        <v>2446.3409247934969</v>
      </c>
      <c r="D51" s="38">
        <f t="shared" ca="1" si="5"/>
        <v>2128.928141128119</v>
      </c>
      <c r="E51" s="34">
        <f t="shared" ca="1" si="9"/>
        <v>2287.634532960808</v>
      </c>
      <c r="F51" s="35">
        <f ca="1">Enunciado!R52</f>
        <v>317.41278366537784</v>
      </c>
      <c r="G51" s="10">
        <f t="shared" si="6"/>
        <v>0</v>
      </c>
      <c r="H51" s="38">
        <f t="shared" ca="1" si="10"/>
        <v>0</v>
      </c>
      <c r="I51" s="38">
        <f t="shared" ca="1" si="0"/>
        <v>1</v>
      </c>
      <c r="J51" s="38">
        <f t="shared" ca="1" si="7"/>
        <v>317.41278366537784</v>
      </c>
      <c r="K51" s="38">
        <f t="shared" ca="1" si="3"/>
        <v>0</v>
      </c>
      <c r="L51" s="13">
        <f t="shared" ca="1" si="8"/>
        <v>38089.534039845341</v>
      </c>
      <c r="M51" s="13">
        <f t="shared" ca="1" si="11"/>
        <v>988.25811823906906</v>
      </c>
      <c r="N51" s="13">
        <f t="shared" ca="1" si="4"/>
        <v>0</v>
      </c>
      <c r="O51" s="13">
        <f t="shared" si="1"/>
        <v>0</v>
      </c>
      <c r="P51" s="13">
        <f t="shared" ca="1" si="2"/>
        <v>37101.27592160627</v>
      </c>
      <c r="R51" s="12" t="s">
        <v>54</v>
      </c>
      <c r="V51" s="65"/>
    </row>
    <row r="52" spans="1:22" x14ac:dyDescent="0.2">
      <c r="B52" s="9">
        <v>50</v>
      </c>
      <c r="C52" s="39">
        <f ca="1">D51+I50*H50 + (1-I49)*H49</f>
        <v>2182.5872163346221</v>
      </c>
      <c r="D52" s="38">
        <f t="shared" ca="1" si="5"/>
        <v>1854.2078399844652</v>
      </c>
      <c r="E52" s="34">
        <f t="shared" ca="1" si="9"/>
        <v>2018.3975281595435</v>
      </c>
      <c r="F52" s="35">
        <f ca="1">Enunciado!R53</f>
        <v>328.37937635015686</v>
      </c>
      <c r="G52" s="10">
        <f t="shared" ca="1" si="6"/>
        <v>1</v>
      </c>
      <c r="H52" s="38">
        <f t="shared" ca="1" si="10"/>
        <v>645.79216001553482</v>
      </c>
      <c r="I52" s="38">
        <f t="shared" ca="1" si="0"/>
        <v>1</v>
      </c>
      <c r="J52" s="38">
        <f t="shared" ca="1" si="7"/>
        <v>328.37937635015686</v>
      </c>
      <c r="K52" s="38">
        <f t="shared" ca="1" si="3"/>
        <v>0</v>
      </c>
      <c r="L52" s="13">
        <f t="shared" ca="1" si="8"/>
        <v>39405.525162018821</v>
      </c>
      <c r="M52" s="13">
        <f t="shared" ca="1" si="11"/>
        <v>871.94773216492274</v>
      </c>
      <c r="N52" s="13">
        <f t="shared" ca="1" si="4"/>
        <v>0</v>
      </c>
      <c r="O52" s="13">
        <f t="shared" ca="1" si="1"/>
        <v>900</v>
      </c>
      <c r="P52" s="13">
        <f t="shared" ca="1" si="2"/>
        <v>37633.577429853896</v>
      </c>
      <c r="R52" s="32">
        <f ca="1">SUM(L3:L52)</f>
        <v>2563232.9873614628</v>
      </c>
      <c r="V52" s="65"/>
    </row>
    <row r="53" spans="1:22" x14ac:dyDescent="0.2">
      <c r="R53" s="33"/>
      <c r="V53" s="65"/>
    </row>
    <row r="54" spans="1:22" x14ac:dyDescent="0.2">
      <c r="A54" s="20"/>
      <c r="B54" s="46"/>
      <c r="C54" s="20"/>
      <c r="D54" s="20"/>
      <c r="E54" s="20"/>
      <c r="F54" s="47"/>
      <c r="G54" s="20"/>
      <c r="R54" s="12" t="s">
        <v>47</v>
      </c>
      <c r="V54" s="65"/>
    </row>
    <row r="55" spans="1:22" x14ac:dyDescent="0.2">
      <c r="A55" s="20"/>
      <c r="B55" s="46"/>
      <c r="C55" s="20"/>
      <c r="D55" s="20"/>
      <c r="E55" s="20"/>
      <c r="F55" s="20"/>
      <c r="G55" s="20"/>
      <c r="R55" s="27">
        <f ca="1">SUM(P3:P52)</f>
        <v>2504095.3372215917</v>
      </c>
      <c r="V55" s="65"/>
    </row>
    <row r="56" spans="1:22" x14ac:dyDescent="0.2">
      <c r="A56" s="20"/>
      <c r="B56" s="46"/>
      <c r="C56" s="20"/>
      <c r="D56" s="20"/>
      <c r="E56" s="20"/>
      <c r="F56" s="20"/>
      <c r="G56" s="20"/>
      <c r="V56" s="65"/>
    </row>
    <row r="57" spans="1:22" x14ac:dyDescent="0.2">
      <c r="A57" s="20"/>
      <c r="B57" s="46"/>
      <c r="C57" s="20"/>
      <c r="D57" s="20"/>
      <c r="E57" s="20"/>
      <c r="F57" s="20"/>
      <c r="G57" s="20"/>
      <c r="V57" s="65"/>
    </row>
    <row r="58" spans="1:22" x14ac:dyDescent="0.2">
      <c r="A58" s="20"/>
      <c r="B58" s="46"/>
      <c r="C58" s="20"/>
      <c r="D58" s="20"/>
      <c r="E58" s="20"/>
      <c r="F58" s="20"/>
      <c r="G58" s="20"/>
      <c r="V58" s="65"/>
    </row>
    <row r="59" spans="1:22" x14ac:dyDescent="0.2">
      <c r="A59" s="20"/>
      <c r="B59" s="46"/>
      <c r="C59" s="20"/>
      <c r="D59" s="20"/>
      <c r="E59" s="20"/>
      <c r="F59" s="20"/>
      <c r="G59" s="20"/>
      <c r="V59" s="65"/>
    </row>
    <row r="60" spans="1:22" x14ac:dyDescent="0.2">
      <c r="A60" s="20"/>
      <c r="B60" s="46"/>
      <c r="C60" s="20"/>
      <c r="D60" s="20"/>
      <c r="E60" s="20"/>
      <c r="F60" s="20"/>
      <c r="G60" s="20"/>
      <c r="V60" s="65"/>
    </row>
    <row r="61" spans="1:22" x14ac:dyDescent="0.2">
      <c r="V61" s="65"/>
    </row>
    <row r="62" spans="1:22" x14ac:dyDescent="0.2">
      <c r="V62" s="65"/>
    </row>
    <row r="63" spans="1:22" x14ac:dyDescent="0.2">
      <c r="V63" s="65"/>
    </row>
    <row r="64" spans="1:22" x14ac:dyDescent="0.2">
      <c r="V64" s="65"/>
    </row>
    <row r="65" spans="22:22" x14ac:dyDescent="0.2">
      <c r="V65" s="65"/>
    </row>
    <row r="66" spans="22:22" x14ac:dyDescent="0.2">
      <c r="V66" s="65"/>
    </row>
    <row r="67" spans="22:22" x14ac:dyDescent="0.2">
      <c r="V67" s="65"/>
    </row>
    <row r="68" spans="22:22" x14ac:dyDescent="0.2">
      <c r="V68" s="65"/>
    </row>
    <row r="69" spans="22:22" x14ac:dyDescent="0.2">
      <c r="V69" s="65"/>
    </row>
    <row r="70" spans="22:22" x14ac:dyDescent="0.2">
      <c r="V70" s="65"/>
    </row>
    <row r="71" spans="22:22" x14ac:dyDescent="0.2">
      <c r="V71" s="65"/>
    </row>
    <row r="72" spans="22:22" x14ac:dyDescent="0.2">
      <c r="V72" s="65"/>
    </row>
    <row r="73" spans="22:22" x14ac:dyDescent="0.2">
      <c r="V73" s="65"/>
    </row>
    <row r="74" spans="22:22" x14ac:dyDescent="0.2">
      <c r="V74" s="65"/>
    </row>
    <row r="75" spans="22:22" x14ac:dyDescent="0.2">
      <c r="V75" s="65"/>
    </row>
    <row r="76" spans="22:22" x14ac:dyDescent="0.2">
      <c r="V76" s="65"/>
    </row>
    <row r="77" spans="22:22" x14ac:dyDescent="0.2">
      <c r="V77" s="65"/>
    </row>
    <row r="78" spans="22:22" x14ac:dyDescent="0.2">
      <c r="V78" s="65"/>
    </row>
    <row r="79" spans="22:22" x14ac:dyDescent="0.2">
      <c r="V79" s="65"/>
    </row>
    <row r="80" spans="22:22" x14ac:dyDescent="0.2">
      <c r="V80" s="65"/>
    </row>
    <row r="81" spans="22:22" x14ac:dyDescent="0.2">
      <c r="V81" s="65"/>
    </row>
    <row r="82" spans="22:22" x14ac:dyDescent="0.2">
      <c r="V82" s="65"/>
    </row>
    <row r="83" spans="22:22" x14ac:dyDescent="0.2">
      <c r="V83" s="65"/>
    </row>
    <row r="84" spans="22:22" x14ac:dyDescent="0.2">
      <c r="V84" s="65"/>
    </row>
    <row r="85" spans="22:22" x14ac:dyDescent="0.2">
      <c r="V85" s="65"/>
    </row>
    <row r="86" spans="22:22" x14ac:dyDescent="0.2">
      <c r="V86" s="65"/>
    </row>
    <row r="87" spans="22:22" x14ac:dyDescent="0.2">
      <c r="V87" s="65"/>
    </row>
    <row r="88" spans="22:22" x14ac:dyDescent="0.2">
      <c r="V88" s="65"/>
    </row>
    <row r="89" spans="22:22" x14ac:dyDescent="0.2">
      <c r="V89" s="65"/>
    </row>
    <row r="90" spans="22:22" x14ac:dyDescent="0.2">
      <c r="V90" s="65"/>
    </row>
    <row r="91" spans="22:22" x14ac:dyDescent="0.2">
      <c r="V91" s="65"/>
    </row>
  </sheetData>
  <mergeCells count="3">
    <mergeCell ref="U3:V3"/>
    <mergeCell ref="C1:K1"/>
    <mergeCell ref="L1:P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8B763-F7B4-BE46-8290-E89B6C46022D}">
  <sheetPr codeName="Folha2"/>
  <dimension ref="A2:BC53"/>
  <sheetViews>
    <sheetView zoomScale="75" zoomScaleNormal="45" workbookViewId="0">
      <selection activeCell="X67" sqref="X67"/>
    </sheetView>
  </sheetViews>
  <sheetFormatPr baseColWidth="10" defaultRowHeight="15" x14ac:dyDescent="0.2"/>
  <cols>
    <col min="2" max="2" width="11" bestFit="1" customWidth="1"/>
    <col min="4" max="4" width="11.33203125" bestFit="1" customWidth="1"/>
    <col min="5" max="5" width="7.83203125" customWidth="1"/>
    <col min="6" max="55" width="10" customWidth="1"/>
  </cols>
  <sheetData>
    <row r="2" spans="1:55" x14ac:dyDescent="0.2">
      <c r="A2" t="s">
        <v>2</v>
      </c>
      <c r="B2" s="28">
        <v>2500</v>
      </c>
    </row>
    <row r="3" spans="1:55" x14ac:dyDescent="0.2">
      <c r="A3" t="s">
        <v>5</v>
      </c>
      <c r="B3">
        <v>2500</v>
      </c>
      <c r="D3" t="s">
        <v>53</v>
      </c>
      <c r="F3" s="20">
        <v>50</v>
      </c>
      <c r="G3" s="20">
        <v>100</v>
      </c>
      <c r="H3">
        <v>150</v>
      </c>
      <c r="I3">
        <v>200</v>
      </c>
      <c r="J3">
        <v>250</v>
      </c>
      <c r="K3">
        <v>300</v>
      </c>
      <c r="L3">
        <v>350</v>
      </c>
      <c r="M3">
        <v>400</v>
      </c>
      <c r="N3">
        <v>450</v>
      </c>
      <c r="O3">
        <v>500</v>
      </c>
      <c r="P3">
        <v>550</v>
      </c>
      <c r="Q3">
        <v>600</v>
      </c>
      <c r="R3">
        <v>650</v>
      </c>
      <c r="S3">
        <v>700</v>
      </c>
      <c r="T3">
        <v>750</v>
      </c>
      <c r="U3">
        <v>800</v>
      </c>
      <c r="V3">
        <v>850</v>
      </c>
      <c r="W3">
        <v>900</v>
      </c>
      <c r="X3">
        <v>950</v>
      </c>
      <c r="Y3">
        <v>1000</v>
      </c>
      <c r="Z3">
        <v>1050</v>
      </c>
      <c r="AA3">
        <v>1100</v>
      </c>
      <c r="AB3">
        <v>1150</v>
      </c>
      <c r="AC3">
        <v>1200</v>
      </c>
      <c r="AD3">
        <v>1250</v>
      </c>
      <c r="AE3">
        <v>1300</v>
      </c>
      <c r="AF3">
        <v>1350</v>
      </c>
      <c r="AG3">
        <v>1400</v>
      </c>
      <c r="AH3">
        <v>1450</v>
      </c>
      <c r="AI3">
        <v>1500</v>
      </c>
      <c r="AJ3">
        <v>1550</v>
      </c>
      <c r="AK3">
        <v>1600</v>
      </c>
      <c r="AL3">
        <v>1650</v>
      </c>
      <c r="AM3">
        <v>1700</v>
      </c>
      <c r="AN3">
        <v>1750</v>
      </c>
      <c r="AO3">
        <v>1800</v>
      </c>
      <c r="AP3">
        <v>1850</v>
      </c>
      <c r="AQ3">
        <v>1900</v>
      </c>
      <c r="AR3">
        <v>1950</v>
      </c>
      <c r="AS3">
        <v>2000</v>
      </c>
      <c r="AT3">
        <v>2050</v>
      </c>
      <c r="AU3">
        <v>2100</v>
      </c>
      <c r="AV3">
        <v>2150</v>
      </c>
      <c r="AW3">
        <v>2200</v>
      </c>
      <c r="AX3">
        <v>2250</v>
      </c>
      <c r="AY3">
        <v>2300</v>
      </c>
      <c r="AZ3">
        <v>2350</v>
      </c>
      <c r="BA3">
        <v>2400</v>
      </c>
      <c r="BB3">
        <v>2450</v>
      </c>
      <c r="BC3">
        <v>2500</v>
      </c>
    </row>
    <row r="4" spans="1:55" x14ac:dyDescent="0.2">
      <c r="D4">
        <f ca="1">'Modelo de Simulação'!R55</f>
        <v>2504095.3372215917</v>
      </c>
      <c r="E4">
        <v>50</v>
      </c>
      <c r="F4" s="20">
        <v>-445130.25121780479</v>
      </c>
      <c r="G4" s="20"/>
    </row>
    <row r="5" spans="1:55" x14ac:dyDescent="0.2">
      <c r="E5">
        <v>100</v>
      </c>
      <c r="F5">
        <v>-275730.16696334217</v>
      </c>
      <c r="G5">
        <v>-272857.28180018562</v>
      </c>
    </row>
    <row r="6" spans="1:55" x14ac:dyDescent="0.2">
      <c r="E6">
        <v>150</v>
      </c>
      <c r="F6">
        <v>-97813.904016400076</v>
      </c>
      <c r="G6">
        <v>-76623.756160614692</v>
      </c>
      <c r="H6">
        <v>-97234.481444609293</v>
      </c>
    </row>
    <row r="7" spans="1:55" x14ac:dyDescent="0.2">
      <c r="E7">
        <v>200</v>
      </c>
      <c r="F7">
        <v>66454.126966913333</v>
      </c>
      <c r="G7">
        <v>113057.67637901651</v>
      </c>
      <c r="H7">
        <v>82313.540898788066</v>
      </c>
      <c r="I7">
        <v>119005.13184549245</v>
      </c>
    </row>
    <row r="8" spans="1:55" x14ac:dyDescent="0.2">
      <c r="E8">
        <v>250</v>
      </c>
      <c r="F8">
        <v>297736.35394624964</v>
      </c>
      <c r="G8">
        <v>259479.38212213127</v>
      </c>
      <c r="H8">
        <v>300920.81524870533</v>
      </c>
      <c r="I8">
        <v>301213.37906387652</v>
      </c>
      <c r="J8">
        <v>304165.85466820112</v>
      </c>
    </row>
    <row r="9" spans="1:55" x14ac:dyDescent="0.2">
      <c r="E9">
        <v>300</v>
      </c>
      <c r="F9">
        <v>468430.60248061037</v>
      </c>
      <c r="G9">
        <v>426765.53325580753</v>
      </c>
      <c r="H9">
        <v>439641.24109165318</v>
      </c>
      <c r="I9">
        <v>466948.54234624066</v>
      </c>
      <c r="J9">
        <v>487233.55718630203</v>
      </c>
      <c r="K9">
        <v>449920.25168508274</v>
      </c>
    </row>
    <row r="10" spans="1:55" x14ac:dyDescent="0.2">
      <c r="E10">
        <v>350</v>
      </c>
      <c r="F10">
        <v>623080.80497831409</v>
      </c>
      <c r="G10">
        <v>653954.11554000154</v>
      </c>
      <c r="H10">
        <v>579262.6399225624</v>
      </c>
      <c r="I10">
        <v>613167.09657632152</v>
      </c>
      <c r="J10">
        <v>604275.4129794836</v>
      </c>
      <c r="K10">
        <v>611760.46132077661</v>
      </c>
      <c r="L10">
        <v>605748.98287614458</v>
      </c>
    </row>
    <row r="11" spans="1:55" x14ac:dyDescent="0.2">
      <c r="E11">
        <v>400</v>
      </c>
      <c r="F11">
        <v>573716.82523869083</v>
      </c>
      <c r="G11">
        <v>687386.79047004285</v>
      </c>
      <c r="H11">
        <v>734400.4276482797</v>
      </c>
      <c r="I11">
        <v>726776.25087260595</v>
      </c>
      <c r="J11">
        <v>767457.57656806079</v>
      </c>
      <c r="K11">
        <v>780610.17244690179</v>
      </c>
      <c r="L11">
        <v>741952.65516807756</v>
      </c>
      <c r="M11">
        <v>805961.23664809833</v>
      </c>
    </row>
    <row r="12" spans="1:55" x14ac:dyDescent="0.2">
      <c r="E12">
        <v>450</v>
      </c>
      <c r="F12">
        <v>669681.47836941748</v>
      </c>
      <c r="G12">
        <v>753623.18140255148</v>
      </c>
      <c r="H12">
        <v>825816.88527676172</v>
      </c>
      <c r="I12">
        <v>872866.27060554468</v>
      </c>
      <c r="J12">
        <v>924635.29667896009</v>
      </c>
      <c r="K12">
        <v>913884.28628894885</v>
      </c>
      <c r="L12">
        <v>857772.65273724543</v>
      </c>
      <c r="M12">
        <v>946835.82774451666</v>
      </c>
      <c r="N12">
        <v>928343.54021768097</v>
      </c>
    </row>
    <row r="13" spans="1:55" x14ac:dyDescent="0.2">
      <c r="E13">
        <v>500</v>
      </c>
      <c r="F13">
        <v>770944.58051580784</v>
      </c>
      <c r="G13">
        <v>823494.9696727593</v>
      </c>
      <c r="H13">
        <v>804593.64339266601</v>
      </c>
      <c r="I13">
        <v>992409.43939627125</v>
      </c>
      <c r="J13">
        <v>962162.09937614051</v>
      </c>
      <c r="K13">
        <v>998941.38716729928</v>
      </c>
      <c r="L13">
        <v>990741.13119602064</v>
      </c>
      <c r="M13">
        <v>1034800.3041603712</v>
      </c>
      <c r="N13">
        <v>1030254.670648233</v>
      </c>
      <c r="O13">
        <v>986640.80380444333</v>
      </c>
    </row>
    <row r="14" spans="1:55" x14ac:dyDescent="0.2">
      <c r="E14">
        <v>550</v>
      </c>
      <c r="F14">
        <v>733776.88716491091</v>
      </c>
      <c r="G14">
        <v>984408.70282734488</v>
      </c>
      <c r="H14">
        <v>890137.06179040228</v>
      </c>
      <c r="I14">
        <v>886649.1066398886</v>
      </c>
      <c r="J14">
        <v>1119031.4219707393</v>
      </c>
      <c r="K14">
        <v>1093851.5007378482</v>
      </c>
      <c r="L14">
        <v>1027938.6572614431</v>
      </c>
      <c r="M14">
        <v>1157071.9936751211</v>
      </c>
      <c r="N14">
        <v>1134443.55027694</v>
      </c>
      <c r="O14">
        <v>1137246.3228058252</v>
      </c>
      <c r="P14">
        <v>1221597.1891355868</v>
      </c>
    </row>
    <row r="15" spans="1:55" x14ac:dyDescent="0.2">
      <c r="E15">
        <v>600</v>
      </c>
      <c r="F15">
        <v>786600.07698638376</v>
      </c>
      <c r="G15">
        <v>801194.26588011649</v>
      </c>
      <c r="H15">
        <v>880647.28755311598</v>
      </c>
      <c r="I15">
        <v>1036232.1189028088</v>
      </c>
      <c r="J15">
        <v>1155954.6723185696</v>
      </c>
      <c r="K15">
        <v>1174208.8330284161</v>
      </c>
      <c r="L15">
        <v>1216156.7806855233</v>
      </c>
      <c r="M15">
        <v>1180083.2223477445</v>
      </c>
      <c r="N15">
        <v>1227394.5526848978</v>
      </c>
      <c r="O15">
        <v>1179635.3958073137</v>
      </c>
      <c r="P15">
        <v>1225198.1238522329</v>
      </c>
      <c r="Q15">
        <v>1176795.7000625634</v>
      </c>
    </row>
    <row r="16" spans="1:55" x14ac:dyDescent="0.2">
      <c r="E16">
        <v>650</v>
      </c>
      <c r="F16">
        <v>1221723.967732999</v>
      </c>
      <c r="G16">
        <v>986418.33495891129</v>
      </c>
      <c r="H16">
        <v>951039.87465522345</v>
      </c>
      <c r="I16">
        <v>1047775.7463820372</v>
      </c>
      <c r="J16">
        <v>965229.67191936821</v>
      </c>
      <c r="K16">
        <v>1331342.3837645038</v>
      </c>
      <c r="L16">
        <v>1387211.821779459</v>
      </c>
      <c r="M16">
        <v>1237949.0152737307</v>
      </c>
      <c r="N16">
        <v>1257737.2987528446</v>
      </c>
      <c r="O16">
        <v>1349035.3535117996</v>
      </c>
      <c r="P16">
        <v>1263283.8495076832</v>
      </c>
      <c r="Q16">
        <v>1357871.5125864143</v>
      </c>
      <c r="R16">
        <v>1297319.9847922188</v>
      </c>
    </row>
    <row r="17" spans="5:34" x14ac:dyDescent="0.2">
      <c r="E17">
        <v>700</v>
      </c>
      <c r="F17">
        <v>766008.7395174721</v>
      </c>
      <c r="G17">
        <v>1056736.2128796263</v>
      </c>
      <c r="H17">
        <v>863996.53441408905</v>
      </c>
      <c r="I17">
        <v>1138887.6463735094</v>
      </c>
      <c r="J17">
        <v>1157726.8838692317</v>
      </c>
      <c r="K17">
        <v>1406627.7644628331</v>
      </c>
      <c r="L17">
        <v>1375339.6666246413</v>
      </c>
      <c r="M17">
        <v>1389013.0474505692</v>
      </c>
      <c r="N17">
        <v>1458558.0105597973</v>
      </c>
      <c r="O17">
        <v>1322795.9136857323</v>
      </c>
      <c r="P17">
        <v>1392936.3042831768</v>
      </c>
      <c r="Q17">
        <v>1381973.6213261341</v>
      </c>
      <c r="R17">
        <v>1479387.456094078</v>
      </c>
      <c r="S17">
        <v>1398776.8537927712</v>
      </c>
    </row>
    <row r="18" spans="5:34" x14ac:dyDescent="0.2">
      <c r="E18">
        <v>750</v>
      </c>
      <c r="F18">
        <v>911981.64301442471</v>
      </c>
      <c r="G18">
        <v>1007565.4007898035</v>
      </c>
      <c r="H18">
        <v>890141.73225878261</v>
      </c>
      <c r="I18">
        <v>1276781.2611817035</v>
      </c>
      <c r="J18">
        <v>1214024.0800682474</v>
      </c>
      <c r="K18">
        <v>1280911.5296800295</v>
      </c>
      <c r="L18">
        <v>1354109.7622037453</v>
      </c>
      <c r="M18">
        <v>1454474.9465857907</v>
      </c>
      <c r="N18">
        <v>1412378.5333060257</v>
      </c>
      <c r="O18">
        <v>1357090.4079625499</v>
      </c>
      <c r="P18">
        <v>1492991.5166278563</v>
      </c>
      <c r="Q18">
        <v>1466970.5288295047</v>
      </c>
      <c r="R18">
        <v>1430794.9056503791</v>
      </c>
      <c r="S18">
        <v>1521766.275463779</v>
      </c>
      <c r="T18">
        <v>1481605.6030615289</v>
      </c>
    </row>
    <row r="19" spans="5:34" x14ac:dyDescent="0.2">
      <c r="E19">
        <v>800</v>
      </c>
      <c r="F19">
        <v>1015509.9715393763</v>
      </c>
      <c r="G19">
        <v>1038310.6197975918</v>
      </c>
      <c r="H19">
        <v>1136179.522493301</v>
      </c>
      <c r="I19">
        <v>1091219.5320476973</v>
      </c>
      <c r="J19">
        <v>1141798.6680037654</v>
      </c>
      <c r="K19">
        <v>1406522.2893652967</v>
      </c>
      <c r="L19">
        <v>1631606.9392417036</v>
      </c>
      <c r="M19">
        <v>1332092.9682957537</v>
      </c>
      <c r="N19">
        <v>1498223.4328847781</v>
      </c>
      <c r="O19">
        <v>1484284.6374503493</v>
      </c>
      <c r="P19">
        <v>1444658.1575972792</v>
      </c>
      <c r="Q19">
        <v>1539865.8430497006</v>
      </c>
      <c r="R19">
        <v>1604422.0860440847</v>
      </c>
      <c r="S19">
        <v>1529297.5861959739</v>
      </c>
      <c r="T19">
        <v>1470390.7854242951</v>
      </c>
      <c r="U19">
        <v>1612880.8744334253</v>
      </c>
    </row>
    <row r="20" spans="5:34" x14ac:dyDescent="0.2">
      <c r="E20">
        <v>850</v>
      </c>
      <c r="F20">
        <v>1024997.3902048017</v>
      </c>
      <c r="G20">
        <v>1137210.1693982838</v>
      </c>
      <c r="H20">
        <v>1182745.7317138549</v>
      </c>
      <c r="I20">
        <v>969991.59459971031</v>
      </c>
      <c r="J20">
        <v>1257842.6103871919</v>
      </c>
      <c r="K20">
        <v>1440738.8418776412</v>
      </c>
      <c r="L20">
        <v>1417448.6982926547</v>
      </c>
      <c r="M20">
        <v>1436697.1447627447</v>
      </c>
      <c r="N20">
        <v>1509418.4452250118</v>
      </c>
      <c r="O20">
        <v>1587207.9615884093</v>
      </c>
      <c r="P20">
        <v>1617704.0689080157</v>
      </c>
      <c r="Q20">
        <v>1590299.0988390406</v>
      </c>
      <c r="R20">
        <v>1572290.0439507735</v>
      </c>
      <c r="S20">
        <v>1662393.1986008477</v>
      </c>
      <c r="T20">
        <v>1644464.5439505363</v>
      </c>
      <c r="U20">
        <v>1663033.2167054659</v>
      </c>
      <c r="V20">
        <v>1578789.0965311886</v>
      </c>
    </row>
    <row r="21" spans="5:34" x14ac:dyDescent="0.2">
      <c r="E21">
        <v>900</v>
      </c>
      <c r="F21">
        <v>1202570.4166231789</v>
      </c>
      <c r="G21">
        <v>1254343.5768382039</v>
      </c>
      <c r="H21">
        <v>1105105.7930166044</v>
      </c>
      <c r="I21">
        <v>1316051.5618776327</v>
      </c>
      <c r="J21">
        <v>1097721.214689075</v>
      </c>
      <c r="K21">
        <v>1239236.3580135277</v>
      </c>
      <c r="L21">
        <v>1367100.7866764094</v>
      </c>
      <c r="M21">
        <v>1418987.3163297847</v>
      </c>
      <c r="N21">
        <v>1455496.598901904</v>
      </c>
      <c r="O21">
        <v>1740734.4042539652</v>
      </c>
      <c r="P21">
        <v>1637606.5498522366</v>
      </c>
      <c r="Q21">
        <v>1635150.4350273211</v>
      </c>
      <c r="R21">
        <v>1701567.3001037741</v>
      </c>
      <c r="S21">
        <v>1623349.6182231174</v>
      </c>
      <c r="T21">
        <v>1586148.1625918667</v>
      </c>
      <c r="U21">
        <v>1694985.5359352955</v>
      </c>
      <c r="V21">
        <v>1796141.8115931463</v>
      </c>
      <c r="W21">
        <v>1737408.1747397259</v>
      </c>
    </row>
    <row r="22" spans="5:34" x14ac:dyDescent="0.2">
      <c r="E22">
        <v>950</v>
      </c>
      <c r="F22">
        <v>1150384.5835089821</v>
      </c>
      <c r="G22">
        <v>1238354.7662863736</v>
      </c>
      <c r="H22">
        <v>1213599.861250862</v>
      </c>
      <c r="I22">
        <v>1264538.6565428828</v>
      </c>
      <c r="J22">
        <v>1275422.2753115487</v>
      </c>
      <c r="K22">
        <v>1515387.2253405398</v>
      </c>
      <c r="L22">
        <v>1497551.0078979055</v>
      </c>
      <c r="M22">
        <v>1595202.4126065366</v>
      </c>
      <c r="N22">
        <v>1477810.4487638471</v>
      </c>
      <c r="O22">
        <v>1642599.3674085713</v>
      </c>
      <c r="P22">
        <v>1835448.7569656509</v>
      </c>
      <c r="Q22">
        <v>1615199.6954240643</v>
      </c>
      <c r="R22">
        <v>1764242.3510743072</v>
      </c>
      <c r="S22">
        <v>1721488.8930962009</v>
      </c>
      <c r="T22">
        <v>1686119.1406204524</v>
      </c>
      <c r="U22">
        <v>1772411.8514448924</v>
      </c>
      <c r="V22">
        <v>1799826.9353712855</v>
      </c>
      <c r="W22">
        <v>1837245.3916707721</v>
      </c>
      <c r="X22">
        <v>1862632.6197534292</v>
      </c>
    </row>
    <row r="23" spans="5:34" x14ac:dyDescent="0.2">
      <c r="E23">
        <v>1000</v>
      </c>
      <c r="F23">
        <v>1165035.4220252375</v>
      </c>
      <c r="G23">
        <v>1210936.1413189271</v>
      </c>
      <c r="H23">
        <v>1369249.3544512668</v>
      </c>
      <c r="I23">
        <v>1292679.1609991554</v>
      </c>
      <c r="J23">
        <v>1356050.7349749331</v>
      </c>
      <c r="K23">
        <v>1503580.2107097073</v>
      </c>
      <c r="L23">
        <v>1239096.7181472217</v>
      </c>
      <c r="M23">
        <v>1510326.7171995849</v>
      </c>
      <c r="N23">
        <v>1701311.5670838759</v>
      </c>
      <c r="O23">
        <v>1862455.3272477291</v>
      </c>
      <c r="P23">
        <v>1603622.9481813028</v>
      </c>
      <c r="Q23">
        <v>1783910.2764333293</v>
      </c>
      <c r="R23">
        <v>1782861.3728374131</v>
      </c>
      <c r="S23">
        <v>1889902.5153829269</v>
      </c>
      <c r="T23">
        <v>1802967.4574377497</v>
      </c>
      <c r="U23">
        <v>1939664.0130657572</v>
      </c>
      <c r="V23">
        <v>1841332.2102600262</v>
      </c>
      <c r="W23">
        <v>1920525.7832711679</v>
      </c>
      <c r="X23">
        <v>1856920.8603374849</v>
      </c>
      <c r="Y23">
        <v>1855455.912113494</v>
      </c>
    </row>
    <row r="24" spans="5:34" x14ac:dyDescent="0.2">
      <c r="E24">
        <v>1050</v>
      </c>
      <c r="F24">
        <v>1478178.2324848461</v>
      </c>
      <c r="G24">
        <v>1309065.4469411348</v>
      </c>
      <c r="H24">
        <v>1373654.0089771363</v>
      </c>
      <c r="I24">
        <v>1398953.540802402</v>
      </c>
      <c r="J24">
        <v>1393271.8726271954</v>
      </c>
      <c r="K24">
        <v>1426865.4352236697</v>
      </c>
      <c r="L24">
        <v>1410767.4454877218</v>
      </c>
      <c r="M24">
        <v>1374878.8548283919</v>
      </c>
      <c r="N24">
        <v>1590295.8883474097</v>
      </c>
      <c r="O24">
        <v>1576431.0766620755</v>
      </c>
      <c r="P24">
        <v>1487850.799596898</v>
      </c>
      <c r="Q24">
        <v>1859771.4930045647</v>
      </c>
      <c r="R24">
        <v>1666012.9370424529</v>
      </c>
      <c r="S24">
        <v>1845329.8197912793</v>
      </c>
      <c r="T24">
        <v>1821189.7535399226</v>
      </c>
      <c r="U24">
        <v>1866177.1339953407</v>
      </c>
      <c r="V24">
        <v>1955577.8211929617</v>
      </c>
      <c r="W24">
        <v>1961552.5021128701</v>
      </c>
      <c r="X24">
        <v>1988830.1767092727</v>
      </c>
      <c r="Y24">
        <v>1879407.9734375</v>
      </c>
      <c r="Z24">
        <v>1941369.4281924937</v>
      </c>
    </row>
    <row r="25" spans="5:34" x14ac:dyDescent="0.2">
      <c r="E25">
        <v>1100</v>
      </c>
      <c r="F25">
        <v>1168403.6163876476</v>
      </c>
      <c r="G25">
        <v>1408476.8895419801</v>
      </c>
      <c r="H25">
        <v>1656171.2870359232</v>
      </c>
      <c r="I25">
        <v>1513930.3326786829</v>
      </c>
      <c r="J25">
        <v>1452163.289275992</v>
      </c>
      <c r="K25">
        <v>1626552.7801369797</v>
      </c>
      <c r="L25">
        <v>1426834.0664823307</v>
      </c>
      <c r="M25">
        <v>1631225.9963628666</v>
      </c>
      <c r="N25">
        <v>1641100.7120100958</v>
      </c>
      <c r="O25">
        <v>1599441.7155996254</v>
      </c>
      <c r="P25">
        <v>1743060.4674652552</v>
      </c>
      <c r="Q25">
        <v>1564553.4140707927</v>
      </c>
      <c r="R25">
        <v>1737453.3579748303</v>
      </c>
      <c r="S25">
        <v>1839976.1779999074</v>
      </c>
      <c r="T25">
        <v>2025907.1498827997</v>
      </c>
      <c r="U25">
        <v>1927846.3883666443</v>
      </c>
      <c r="V25">
        <v>1896242.6389815814</v>
      </c>
      <c r="W25">
        <v>1900455.7671269455</v>
      </c>
      <c r="X25">
        <v>1939128.6887667552</v>
      </c>
      <c r="Y25">
        <v>1991455.21065155</v>
      </c>
      <c r="Z25">
        <v>1950215.4734284221</v>
      </c>
      <c r="AA25">
        <v>1973466.4233951892</v>
      </c>
    </row>
    <row r="26" spans="5:34" x14ac:dyDescent="0.2">
      <c r="E26">
        <v>1150</v>
      </c>
      <c r="F26">
        <v>1377089.349520158</v>
      </c>
      <c r="G26">
        <v>1334447.1709322555</v>
      </c>
      <c r="H26">
        <v>1420896.6914227831</v>
      </c>
      <c r="I26">
        <v>1511013.9128494253</v>
      </c>
      <c r="J26">
        <v>1469312.9004749358</v>
      </c>
      <c r="K26">
        <v>1746362.3111161187</v>
      </c>
      <c r="L26">
        <v>1533396.7485681409</v>
      </c>
      <c r="M26">
        <v>1624977.9451578152</v>
      </c>
      <c r="N26">
        <v>1741299.785131298</v>
      </c>
      <c r="O26">
        <v>1792164.5081088466</v>
      </c>
      <c r="P26">
        <v>1834825.4461381463</v>
      </c>
      <c r="Q26">
        <v>1752397.990409262</v>
      </c>
      <c r="R26">
        <v>1765606.9533918865</v>
      </c>
      <c r="S26">
        <v>1954922.1518245351</v>
      </c>
      <c r="T26">
        <v>2014752.5993494436</v>
      </c>
      <c r="U26">
        <v>2008506.4095581537</v>
      </c>
      <c r="V26">
        <v>2016246.4692120033</v>
      </c>
      <c r="W26">
        <v>2069701.3063647489</v>
      </c>
      <c r="X26">
        <v>1928039.1999900967</v>
      </c>
      <c r="Y26">
        <v>2072187.3966332686</v>
      </c>
      <c r="Z26">
        <v>2118172.3264237763</v>
      </c>
      <c r="AA26">
        <v>1951680.7164291139</v>
      </c>
      <c r="AB26">
        <v>2034668.3208403166</v>
      </c>
    </row>
    <row r="27" spans="5:34" x14ac:dyDescent="0.2">
      <c r="E27">
        <v>1200</v>
      </c>
      <c r="F27">
        <v>1413845.9816087657</v>
      </c>
      <c r="G27">
        <v>1356953.195590887</v>
      </c>
      <c r="H27">
        <v>1407611.9558713611</v>
      </c>
      <c r="I27">
        <v>1459843.988146354</v>
      </c>
      <c r="J27">
        <v>1606801.635781606</v>
      </c>
      <c r="K27">
        <v>1545104.1787030103</v>
      </c>
      <c r="L27">
        <v>1627740.1345110654</v>
      </c>
      <c r="M27">
        <v>1482691.995163301</v>
      </c>
      <c r="N27">
        <v>1694821.4369082691</v>
      </c>
      <c r="O27">
        <v>1559458.2784014407</v>
      </c>
      <c r="P27">
        <v>2059286.1053349397</v>
      </c>
      <c r="Q27">
        <v>2021460.7127853858</v>
      </c>
      <c r="R27">
        <v>1977067.5765038566</v>
      </c>
      <c r="S27">
        <v>1842980.354352006</v>
      </c>
      <c r="T27">
        <v>1908377.5765909578</v>
      </c>
      <c r="U27">
        <v>2017817.3874103858</v>
      </c>
      <c r="V27">
        <v>2094486.9107219155</v>
      </c>
      <c r="W27">
        <v>2115952.9905198826</v>
      </c>
      <c r="X27">
        <v>2014275.5652129289</v>
      </c>
      <c r="Y27">
        <v>2115045.3207156546</v>
      </c>
      <c r="Z27">
        <v>2253763.5956010148</v>
      </c>
      <c r="AA27">
        <v>2128811.5353962113</v>
      </c>
      <c r="AB27">
        <v>2214636.0503489333</v>
      </c>
      <c r="AC27">
        <v>2101346.982724186</v>
      </c>
    </row>
    <row r="28" spans="5:34" x14ac:dyDescent="0.2">
      <c r="E28">
        <v>1250</v>
      </c>
      <c r="F28">
        <v>1377953.3404149387</v>
      </c>
      <c r="G28">
        <v>1372937.4584952157</v>
      </c>
      <c r="H28">
        <v>1502080.0223410518</v>
      </c>
      <c r="I28">
        <v>1532277.2739172524</v>
      </c>
      <c r="J28">
        <v>1641879.5747401176</v>
      </c>
      <c r="K28">
        <v>1788422.3517495038</v>
      </c>
      <c r="L28">
        <v>1859710.7748945889</v>
      </c>
      <c r="M28">
        <v>1463018.3094925773</v>
      </c>
      <c r="N28">
        <v>1718680.5685243157</v>
      </c>
      <c r="O28">
        <v>1847048.7533705772</v>
      </c>
      <c r="P28">
        <v>1741444.6154533948</v>
      </c>
      <c r="Q28">
        <v>1923404.6963952263</v>
      </c>
      <c r="R28">
        <v>2188228.069945205</v>
      </c>
      <c r="S28">
        <v>1901954.7862785796</v>
      </c>
      <c r="T28">
        <v>1901584.4386679062</v>
      </c>
      <c r="U28">
        <v>2065250.1128139501</v>
      </c>
      <c r="V28">
        <v>2035817.2483368588</v>
      </c>
      <c r="W28">
        <v>2027137.1771173014</v>
      </c>
      <c r="X28">
        <v>2038248.7152630929</v>
      </c>
      <c r="Y28">
        <v>2079747.4754625103</v>
      </c>
      <c r="Z28">
        <v>2104537.9667195207</v>
      </c>
      <c r="AA28">
        <v>2070920.0871834867</v>
      </c>
      <c r="AB28">
        <v>2138784.332762246</v>
      </c>
      <c r="AC28">
        <v>2137538.1215454647</v>
      </c>
      <c r="AD28">
        <v>2123671.5696707191</v>
      </c>
    </row>
    <row r="29" spans="5:34" x14ac:dyDescent="0.2">
      <c r="E29">
        <v>1300</v>
      </c>
      <c r="F29">
        <v>1416280.9975043326</v>
      </c>
      <c r="G29">
        <v>1415715.5090210568</v>
      </c>
      <c r="H29">
        <v>1585624.5732145205</v>
      </c>
      <c r="I29">
        <v>1478635.6701470101</v>
      </c>
      <c r="J29">
        <v>1474915.6919349972</v>
      </c>
      <c r="K29">
        <v>1865560.9965967347</v>
      </c>
      <c r="L29">
        <v>1904708.699015243</v>
      </c>
      <c r="M29">
        <v>1710115.4880160752</v>
      </c>
      <c r="N29">
        <v>1793933.4333750377</v>
      </c>
      <c r="O29">
        <v>1838219.6551940362</v>
      </c>
      <c r="P29">
        <v>1868440.753761132</v>
      </c>
      <c r="Q29">
        <v>1869229.1040739031</v>
      </c>
      <c r="R29">
        <v>1957060.3855389457</v>
      </c>
      <c r="S29">
        <v>1771061.777343723</v>
      </c>
      <c r="T29">
        <v>2070747.0015008308</v>
      </c>
      <c r="U29">
        <v>2242970.4127956536</v>
      </c>
      <c r="V29">
        <v>2076771.7226560165</v>
      </c>
      <c r="W29">
        <v>2219548.6727747368</v>
      </c>
      <c r="X29">
        <v>2148967.0526935309</v>
      </c>
      <c r="Y29">
        <v>2205863.3581720218</v>
      </c>
      <c r="Z29">
        <v>2139401.8637205763</v>
      </c>
      <c r="AA29">
        <v>2138807.1127812187</v>
      </c>
      <c r="AB29">
        <v>2127669.4438451538</v>
      </c>
      <c r="AC29">
        <v>2285253.1536636692</v>
      </c>
      <c r="AD29">
        <v>2205723.6712968391</v>
      </c>
      <c r="AE29">
        <v>2299011.1528868801</v>
      </c>
    </row>
    <row r="30" spans="5:34" x14ac:dyDescent="0.2">
      <c r="E30">
        <v>1350</v>
      </c>
      <c r="F30">
        <v>1367816.77486874</v>
      </c>
      <c r="G30">
        <v>1432609.0865785705</v>
      </c>
      <c r="H30">
        <v>1508694.2038429941</v>
      </c>
      <c r="I30">
        <v>1547927.3427036353</v>
      </c>
      <c r="J30">
        <v>1586973.7390784549</v>
      </c>
      <c r="K30">
        <v>1668023.6059764745</v>
      </c>
      <c r="L30">
        <v>1619227.1871442713</v>
      </c>
      <c r="M30">
        <v>1771772.6283844605</v>
      </c>
      <c r="N30">
        <v>1755602.0142511169</v>
      </c>
      <c r="O30">
        <v>1702101.4328098618</v>
      </c>
      <c r="P30">
        <v>1717721.4864778735</v>
      </c>
      <c r="Q30">
        <v>1813490.6919496409</v>
      </c>
      <c r="R30">
        <v>2106346.459165798</v>
      </c>
      <c r="S30">
        <v>2131634.8348838394</v>
      </c>
      <c r="T30">
        <v>2184331.3773974269</v>
      </c>
      <c r="U30">
        <v>2135417.9208262577</v>
      </c>
      <c r="V30">
        <v>2101665.8807903696</v>
      </c>
      <c r="W30">
        <v>2223361.6855974295</v>
      </c>
      <c r="X30">
        <v>2179676.4482749337</v>
      </c>
      <c r="Y30">
        <v>2234120.2673825044</v>
      </c>
      <c r="Z30">
        <v>2216012.8794800253</v>
      </c>
      <c r="AA30">
        <v>2217334.3161800657</v>
      </c>
      <c r="AB30">
        <v>2123805.3162780064</v>
      </c>
      <c r="AC30">
        <v>2235390.043041639</v>
      </c>
      <c r="AD30">
        <v>2195102.6201103227</v>
      </c>
      <c r="AE30">
        <v>2307802.9757843115</v>
      </c>
      <c r="AF30">
        <v>2115987.1988851861</v>
      </c>
    </row>
    <row r="31" spans="5:34" x14ac:dyDescent="0.2">
      <c r="E31">
        <v>1400</v>
      </c>
      <c r="F31">
        <v>1307738.9484788429</v>
      </c>
      <c r="G31">
        <v>1568979.5028905154</v>
      </c>
      <c r="H31">
        <v>1563882.8798462714</v>
      </c>
      <c r="I31">
        <v>1615003.4510877563</v>
      </c>
      <c r="J31">
        <v>1628767.3863995166</v>
      </c>
      <c r="K31">
        <v>1647012.9504512991</v>
      </c>
      <c r="L31">
        <v>1748906.1376405235</v>
      </c>
      <c r="M31">
        <v>1692943.3509451179</v>
      </c>
      <c r="N31">
        <v>1808542.688066832</v>
      </c>
      <c r="O31">
        <v>1688033.2796010787</v>
      </c>
      <c r="P31">
        <v>1862283.2270685004</v>
      </c>
      <c r="Q31">
        <v>1822307.0163817257</v>
      </c>
      <c r="R31">
        <v>2139047.2708069966</v>
      </c>
      <c r="S31">
        <v>1889240.8870528121</v>
      </c>
      <c r="T31">
        <v>2231399.5770569476</v>
      </c>
      <c r="U31">
        <v>2077493.2221794443</v>
      </c>
      <c r="V31">
        <v>2280096.0260464768</v>
      </c>
      <c r="W31">
        <v>2122760.0834811577</v>
      </c>
      <c r="X31">
        <v>2273460.5465796082</v>
      </c>
      <c r="Y31">
        <v>2311881.7251534942</v>
      </c>
      <c r="Z31">
        <v>2216806.105961842</v>
      </c>
      <c r="AA31">
        <v>2262107.5290109096</v>
      </c>
      <c r="AB31">
        <v>2291540.9049090073</v>
      </c>
      <c r="AC31">
        <v>2234989.0611736323</v>
      </c>
      <c r="AD31">
        <v>2348405.0644577532</v>
      </c>
      <c r="AE31">
        <v>2266356.8146501384</v>
      </c>
      <c r="AF31">
        <v>2294042.2681905045</v>
      </c>
      <c r="AG31">
        <v>2303297.5621693172</v>
      </c>
    </row>
    <row r="32" spans="5:34" x14ac:dyDescent="0.2">
      <c r="E32">
        <v>1450</v>
      </c>
      <c r="F32">
        <v>1540753.9769926744</v>
      </c>
      <c r="G32">
        <v>1645399.0012690907</v>
      </c>
      <c r="H32">
        <v>1366942.8130645908</v>
      </c>
      <c r="I32">
        <v>1592734.3919920833</v>
      </c>
      <c r="J32">
        <v>1530608.9741459349</v>
      </c>
      <c r="K32">
        <v>1688608.4721598655</v>
      </c>
      <c r="L32">
        <v>1785704.6461300512</v>
      </c>
      <c r="M32">
        <v>1780348.7996408152</v>
      </c>
      <c r="N32">
        <v>1877669.4136347801</v>
      </c>
      <c r="O32">
        <v>1798137.2828520469</v>
      </c>
      <c r="P32">
        <v>1773274.226288816</v>
      </c>
      <c r="Q32">
        <v>1876120.2584758503</v>
      </c>
      <c r="R32">
        <v>2242465.3815647536</v>
      </c>
      <c r="S32">
        <v>2211522.2957990835</v>
      </c>
      <c r="T32">
        <v>1830847.1976615677</v>
      </c>
      <c r="U32">
        <v>2253779.9700897019</v>
      </c>
      <c r="V32">
        <v>2241146.9641782707</v>
      </c>
      <c r="W32">
        <v>2329400.919265551</v>
      </c>
      <c r="X32">
        <v>2322685.2158669434</v>
      </c>
      <c r="Y32">
        <v>2146986.9096736829</v>
      </c>
      <c r="Z32">
        <v>2319396.4706278858</v>
      </c>
      <c r="AA32">
        <v>2205443.9750396349</v>
      </c>
      <c r="AB32">
        <v>2265429.3484964226</v>
      </c>
      <c r="AC32">
        <v>2155477.2886454375</v>
      </c>
      <c r="AD32">
        <v>2284767.6126778838</v>
      </c>
      <c r="AE32">
        <v>2277348.0658072857</v>
      </c>
      <c r="AF32">
        <v>2271436.2554783532</v>
      </c>
      <c r="AG32">
        <v>2222575.7735107611</v>
      </c>
      <c r="AH32">
        <v>2330920.6565771601</v>
      </c>
    </row>
    <row r="33" spans="5:50" x14ac:dyDescent="0.2">
      <c r="E33">
        <v>1500</v>
      </c>
      <c r="F33">
        <v>1560165.3296020504</v>
      </c>
      <c r="G33">
        <v>1464671.7204714664</v>
      </c>
      <c r="H33">
        <v>1398524.3142653028</v>
      </c>
      <c r="I33">
        <v>1591539.4503312071</v>
      </c>
      <c r="J33">
        <v>1838336.7967425073</v>
      </c>
      <c r="K33">
        <v>1587183.2965857813</v>
      </c>
      <c r="L33">
        <v>1660018.6071189649</v>
      </c>
      <c r="M33">
        <v>1791262.3754125789</v>
      </c>
      <c r="N33">
        <v>1775556.655275401</v>
      </c>
      <c r="O33">
        <v>1851813.4493704415</v>
      </c>
      <c r="P33">
        <v>1835508.523759099</v>
      </c>
      <c r="Q33">
        <v>1861376.3337230256</v>
      </c>
      <c r="R33">
        <v>2066709.2792591839</v>
      </c>
      <c r="S33">
        <v>2155601.2485692408</v>
      </c>
      <c r="T33">
        <v>2178185.5849465183</v>
      </c>
      <c r="U33">
        <v>1906881.974729056</v>
      </c>
      <c r="V33">
        <v>1920435.4751603398</v>
      </c>
      <c r="W33">
        <v>2203260.5639886511</v>
      </c>
      <c r="X33">
        <v>2263396.7600782407</v>
      </c>
      <c r="Y33">
        <v>2219439.4292660947</v>
      </c>
      <c r="Z33">
        <v>2246756.6498397728</v>
      </c>
      <c r="AA33">
        <v>2276981.8554378352</v>
      </c>
      <c r="AB33">
        <v>2322328.597317527</v>
      </c>
      <c r="AC33">
        <v>2252826.7933708485</v>
      </c>
      <c r="AD33">
        <v>2336434.5684982957</v>
      </c>
      <c r="AE33">
        <v>2288194.6715720063</v>
      </c>
      <c r="AF33">
        <v>2317902.8839852493</v>
      </c>
      <c r="AG33">
        <v>2367669.9819331225</v>
      </c>
      <c r="AH33">
        <v>2290582.8008584161</v>
      </c>
      <c r="AI33">
        <v>2261532.2937555858</v>
      </c>
    </row>
    <row r="34" spans="5:50" x14ac:dyDescent="0.2">
      <c r="E34">
        <v>1550</v>
      </c>
      <c r="F34">
        <v>1468003.1904782339</v>
      </c>
      <c r="G34">
        <v>1562184.4855712142</v>
      </c>
      <c r="H34">
        <v>1477743.2596357476</v>
      </c>
      <c r="I34">
        <v>1553974.7822511247</v>
      </c>
      <c r="J34">
        <v>1662938.0782067848</v>
      </c>
      <c r="K34">
        <v>1690480.2372783558</v>
      </c>
      <c r="L34">
        <v>1747828.7915416122</v>
      </c>
      <c r="M34">
        <v>1814664.9589958247</v>
      </c>
      <c r="N34">
        <v>1800721.5664488627</v>
      </c>
      <c r="O34">
        <v>1863713.8397762477</v>
      </c>
      <c r="P34">
        <v>1954240.7494232699</v>
      </c>
      <c r="Q34">
        <v>2042646.5695044259</v>
      </c>
      <c r="R34">
        <v>1808238.0265563549</v>
      </c>
      <c r="S34">
        <v>2049769.2960790535</v>
      </c>
      <c r="T34">
        <v>2046994.0439443991</v>
      </c>
      <c r="U34">
        <v>1933191.3310939267</v>
      </c>
      <c r="V34">
        <v>2387108.4315068568</v>
      </c>
      <c r="W34">
        <v>2375687.7508870922</v>
      </c>
      <c r="X34">
        <v>2120986.0377335907</v>
      </c>
      <c r="Y34">
        <v>2351225.8210882656</v>
      </c>
      <c r="Z34">
        <v>2264415.9807848926</v>
      </c>
      <c r="AA34">
        <v>2403924.8973937752</v>
      </c>
      <c r="AB34">
        <v>2245342.9705901523</v>
      </c>
      <c r="AC34">
        <v>2302865.4719010293</v>
      </c>
      <c r="AD34">
        <v>2360280.4795861519</v>
      </c>
      <c r="AE34">
        <v>2377537.0226687388</v>
      </c>
      <c r="AF34">
        <v>2354850.2603647299</v>
      </c>
      <c r="AG34">
        <v>2412669.656601246</v>
      </c>
      <c r="AH34">
        <v>2263403.2018329757</v>
      </c>
      <c r="AI34">
        <v>2382471.9813589747</v>
      </c>
      <c r="AJ34">
        <v>2311898.3385696206</v>
      </c>
    </row>
    <row r="35" spans="5:50" x14ac:dyDescent="0.2">
      <c r="E35">
        <v>1600</v>
      </c>
      <c r="F35">
        <v>1662809.4339929523</v>
      </c>
      <c r="G35">
        <v>1730036.7066558921</v>
      </c>
      <c r="H35">
        <v>1591681.3043544432</v>
      </c>
      <c r="I35">
        <v>1624023.7556851823</v>
      </c>
      <c r="J35">
        <v>1725390.629538767</v>
      </c>
      <c r="K35">
        <v>1774801.7890175511</v>
      </c>
      <c r="L35">
        <v>1704989.540212204</v>
      </c>
      <c r="M35">
        <v>1724376.4390665221</v>
      </c>
      <c r="N35">
        <v>1834439.1531128148</v>
      </c>
      <c r="O35">
        <v>1694914.5726481122</v>
      </c>
      <c r="P35">
        <v>2056501.2948216584</v>
      </c>
      <c r="Q35">
        <v>1912555.2831603433</v>
      </c>
      <c r="R35">
        <v>1932933.2187692693</v>
      </c>
      <c r="S35">
        <v>2002432.8022509236</v>
      </c>
      <c r="T35">
        <v>1904056.2672056437</v>
      </c>
      <c r="U35">
        <v>2188744.9583653957</v>
      </c>
      <c r="V35">
        <v>2339989.092065888</v>
      </c>
      <c r="W35">
        <v>1964570.6317749685</v>
      </c>
      <c r="X35">
        <v>2334113.9891677354</v>
      </c>
      <c r="Y35">
        <v>2248419.9569404423</v>
      </c>
      <c r="Z35">
        <v>2320139.6935332282</v>
      </c>
      <c r="AA35">
        <v>2384753.7710888665</v>
      </c>
      <c r="AB35">
        <v>2370085.5186776682</v>
      </c>
      <c r="AC35">
        <v>2362161.9475509627</v>
      </c>
      <c r="AD35">
        <v>2406635.9317931775</v>
      </c>
      <c r="AE35">
        <v>2289369.4421740784</v>
      </c>
      <c r="AF35">
        <v>2366266.0604905267</v>
      </c>
      <c r="AG35">
        <v>2330070.3381869821</v>
      </c>
      <c r="AH35">
        <v>2402269.1072907774</v>
      </c>
      <c r="AI35">
        <v>2330760.3682386801</v>
      </c>
      <c r="AJ35">
        <v>2392115.1757245781</v>
      </c>
      <c r="AK35">
        <v>2400332.5744799334</v>
      </c>
    </row>
    <row r="36" spans="5:50" x14ac:dyDescent="0.2">
      <c r="E36">
        <v>1650</v>
      </c>
      <c r="F36">
        <v>1676642.8778161241</v>
      </c>
      <c r="G36">
        <v>1620387.1733357371</v>
      </c>
      <c r="H36">
        <v>1625282.5124614113</v>
      </c>
      <c r="I36">
        <v>1683413.5282758968</v>
      </c>
      <c r="J36">
        <v>1696535.8526380367</v>
      </c>
      <c r="K36">
        <v>1749021.7021128295</v>
      </c>
      <c r="L36">
        <v>1668826.1110513776</v>
      </c>
      <c r="M36">
        <v>1768681.3127121406</v>
      </c>
      <c r="N36">
        <v>2001937.4737917506</v>
      </c>
      <c r="O36">
        <v>1971775.826967577</v>
      </c>
      <c r="P36">
        <v>2032881.7728306036</v>
      </c>
      <c r="Q36">
        <v>1951813.0583405555</v>
      </c>
      <c r="R36">
        <v>2091030.584737781</v>
      </c>
      <c r="S36">
        <v>2023477.4919696788</v>
      </c>
      <c r="T36">
        <v>2068065.7833094245</v>
      </c>
      <c r="U36">
        <v>2251274.4759241519</v>
      </c>
      <c r="V36">
        <v>2292512.0013169544</v>
      </c>
      <c r="W36">
        <v>2216820.8442891366</v>
      </c>
      <c r="X36">
        <v>2206392.8136654543</v>
      </c>
      <c r="Y36">
        <v>2357117.3548814883</v>
      </c>
      <c r="Z36">
        <v>2293639.6734908056</v>
      </c>
      <c r="AA36">
        <v>2304350.6872292254</v>
      </c>
      <c r="AB36">
        <v>2397076.8653404014</v>
      </c>
      <c r="AC36">
        <v>2408866.052792226</v>
      </c>
      <c r="AD36">
        <v>2337463.6426901254</v>
      </c>
      <c r="AE36">
        <v>2338305.9979731697</v>
      </c>
      <c r="AF36">
        <v>2438892.0915204692</v>
      </c>
      <c r="AG36">
        <v>2406139.5132953781</v>
      </c>
      <c r="AH36">
        <v>2372844.5490627247</v>
      </c>
      <c r="AI36">
        <v>2365523.9645901527</v>
      </c>
      <c r="AJ36">
        <v>2417571.6929186289</v>
      </c>
      <c r="AK36">
        <v>2396330.3527410529</v>
      </c>
      <c r="AL36">
        <v>2401347.8109541121</v>
      </c>
    </row>
    <row r="37" spans="5:50" x14ac:dyDescent="0.2">
      <c r="E37">
        <v>1700</v>
      </c>
      <c r="F37">
        <v>1807149.8626428652</v>
      </c>
      <c r="G37">
        <v>1739809.6696500767</v>
      </c>
      <c r="H37">
        <v>1752671.6523121807</v>
      </c>
      <c r="I37">
        <v>1705878.9377669515</v>
      </c>
      <c r="J37">
        <v>1788192.7195167812</v>
      </c>
      <c r="K37">
        <v>1730193.9276410737</v>
      </c>
      <c r="L37">
        <v>1678082.7464134609</v>
      </c>
      <c r="M37">
        <v>1908369.1534124021</v>
      </c>
      <c r="N37">
        <v>1878424.7916892422</v>
      </c>
      <c r="O37">
        <v>1868932.4940462885</v>
      </c>
      <c r="P37">
        <v>2059167.7051822841</v>
      </c>
      <c r="Q37">
        <v>2019511.4659571899</v>
      </c>
      <c r="R37">
        <v>1972408.2267476032</v>
      </c>
      <c r="S37">
        <v>1942323.4071992058</v>
      </c>
      <c r="T37">
        <v>2182715.3000616534</v>
      </c>
      <c r="U37">
        <v>2128392.0228827344</v>
      </c>
      <c r="V37">
        <v>2109658.47475251</v>
      </c>
      <c r="W37">
        <v>2043848.0546956644</v>
      </c>
      <c r="X37">
        <v>2361899.5764441253</v>
      </c>
      <c r="Y37">
        <v>2322442.3370363428</v>
      </c>
      <c r="Z37">
        <v>2303458.9044234729</v>
      </c>
      <c r="AA37">
        <v>2270763.2295784322</v>
      </c>
      <c r="AB37">
        <v>2421858.6919017946</v>
      </c>
      <c r="AC37">
        <v>2457626.7311633844</v>
      </c>
      <c r="AD37">
        <v>2507284.5786028737</v>
      </c>
      <c r="AE37">
        <v>2374064.4415209605</v>
      </c>
      <c r="AF37">
        <v>2320400.3692874261</v>
      </c>
      <c r="AG37">
        <v>2408775.2187443501</v>
      </c>
      <c r="AH37">
        <v>2405728.0293065584</v>
      </c>
      <c r="AI37">
        <v>2449554.6486208434</v>
      </c>
      <c r="AJ37">
        <v>2424492.5690287212</v>
      </c>
      <c r="AK37">
        <v>2477411.0293111019</v>
      </c>
      <c r="AL37">
        <v>2432457.6799083697</v>
      </c>
      <c r="AM37">
        <v>2425037.9599698107</v>
      </c>
    </row>
    <row r="38" spans="5:50" x14ac:dyDescent="0.2">
      <c r="E38">
        <v>1750</v>
      </c>
      <c r="F38">
        <v>1507118.4915091316</v>
      </c>
      <c r="G38">
        <v>1717444.9668053638</v>
      </c>
      <c r="H38">
        <v>1727741.9919893031</v>
      </c>
      <c r="I38">
        <v>1835707.0461639222</v>
      </c>
      <c r="J38">
        <v>1716764.1610835616</v>
      </c>
      <c r="K38">
        <v>1846522.5167814521</v>
      </c>
      <c r="L38">
        <v>1740253.7975875761</v>
      </c>
      <c r="M38">
        <v>1886270.0971122959</v>
      </c>
      <c r="N38">
        <v>1923683.885094356</v>
      </c>
      <c r="O38">
        <v>1942843.6394767007</v>
      </c>
      <c r="P38">
        <v>1953742.9566460075</v>
      </c>
      <c r="Q38">
        <v>1990331.1753593448</v>
      </c>
      <c r="R38">
        <v>2088001.9002033935</v>
      </c>
      <c r="S38">
        <v>2037184.7270091807</v>
      </c>
      <c r="T38">
        <v>2158010.7768348637</v>
      </c>
      <c r="U38">
        <v>2178866.4779961705</v>
      </c>
      <c r="V38">
        <v>2038380.9237554439</v>
      </c>
      <c r="W38">
        <v>2113328.0194555698</v>
      </c>
      <c r="X38">
        <v>2202434.4803404515</v>
      </c>
      <c r="Y38">
        <v>2323173.3904365338</v>
      </c>
      <c r="Z38">
        <v>2492987.196019066</v>
      </c>
      <c r="AA38">
        <v>2351704.1455540974</v>
      </c>
      <c r="AB38">
        <v>2398006.0527651934</v>
      </c>
      <c r="AC38">
        <v>2529149.3883236931</v>
      </c>
      <c r="AD38">
        <v>2397402.3247730108</v>
      </c>
      <c r="AE38">
        <v>2313927.8655977575</v>
      </c>
      <c r="AF38">
        <v>2399239.4081100589</v>
      </c>
      <c r="AG38">
        <v>2374937.7909108293</v>
      </c>
      <c r="AH38">
        <v>2364763.4828012711</v>
      </c>
      <c r="AI38">
        <v>2466335.4497630731</v>
      </c>
      <c r="AJ38">
        <v>2357618.3248795671</v>
      </c>
      <c r="AK38">
        <v>2350693.8069808893</v>
      </c>
      <c r="AL38">
        <v>2436531.462737604</v>
      </c>
      <c r="AM38">
        <v>2378456.7924469141</v>
      </c>
      <c r="AN38">
        <v>2382215.5469846725</v>
      </c>
    </row>
    <row r="39" spans="5:50" x14ac:dyDescent="0.2">
      <c r="E39">
        <v>1800</v>
      </c>
      <c r="F39">
        <v>1522495.3887830877</v>
      </c>
      <c r="G39">
        <v>1605316.1634183892</v>
      </c>
      <c r="H39">
        <v>1755589.5707938059</v>
      </c>
      <c r="I39">
        <v>1808717.6947872501</v>
      </c>
      <c r="J39">
        <v>1879835.3002004679</v>
      </c>
      <c r="K39">
        <v>1814058.6617113559</v>
      </c>
      <c r="L39">
        <v>1850801.4454450812</v>
      </c>
      <c r="M39">
        <v>1818342.6008455919</v>
      </c>
      <c r="N39">
        <v>1805883.7346825732</v>
      </c>
      <c r="O39">
        <v>1885993.1539997342</v>
      </c>
      <c r="P39">
        <v>1966390.3929244322</v>
      </c>
      <c r="Q39">
        <v>1968221.8205727523</v>
      </c>
      <c r="R39">
        <v>2154241.5921270032</v>
      </c>
      <c r="S39">
        <v>2049522.2745426351</v>
      </c>
      <c r="T39">
        <v>2163110.2866977737</v>
      </c>
      <c r="U39">
        <v>1953108.5943956922</v>
      </c>
      <c r="V39">
        <v>2290571.1789102824</v>
      </c>
      <c r="W39">
        <v>2101982.2853837805</v>
      </c>
      <c r="X39">
        <v>2041396.3007294685</v>
      </c>
      <c r="Y39">
        <v>2354779.6235787631</v>
      </c>
      <c r="Z39">
        <v>2476704.0919884993</v>
      </c>
      <c r="AA39">
        <v>2463789.2636145917</v>
      </c>
      <c r="AB39">
        <v>2406338.8009968209</v>
      </c>
      <c r="AC39">
        <v>2383423.8953074221</v>
      </c>
      <c r="AD39">
        <v>2451843.8891665889</v>
      </c>
      <c r="AE39">
        <v>2383485.9160723467</v>
      </c>
      <c r="AF39">
        <v>2443882.6670916649</v>
      </c>
      <c r="AG39">
        <v>2461466.0510151419</v>
      </c>
      <c r="AH39">
        <v>2456545.0865146602</v>
      </c>
      <c r="AI39">
        <v>2398957.9263921832</v>
      </c>
      <c r="AJ39">
        <v>2449819.9366833554</v>
      </c>
      <c r="AK39">
        <v>2440786.8084902172</v>
      </c>
      <c r="AL39">
        <v>2440994.9543558797</v>
      </c>
      <c r="AM39">
        <v>2451082.7474998697</v>
      </c>
      <c r="AN39">
        <v>2409668.3811820573</v>
      </c>
      <c r="AO39">
        <v>2471390.4817627463</v>
      </c>
    </row>
    <row r="40" spans="5:50" x14ac:dyDescent="0.2">
      <c r="E40">
        <v>1850</v>
      </c>
      <c r="F40">
        <v>1667094.1486575985</v>
      </c>
      <c r="G40">
        <v>1517234.6351533972</v>
      </c>
      <c r="H40">
        <v>1665563.442794658</v>
      </c>
      <c r="I40">
        <v>1961472.9962524145</v>
      </c>
      <c r="J40">
        <v>1851164.7311269599</v>
      </c>
      <c r="K40">
        <v>1972164.8097686192</v>
      </c>
      <c r="L40">
        <v>2053595.2899595145</v>
      </c>
      <c r="M40">
        <v>2019510.7209463604</v>
      </c>
      <c r="N40">
        <v>1892981.0782742668</v>
      </c>
      <c r="O40">
        <v>1948657.0818774998</v>
      </c>
      <c r="P40">
        <v>2121101.9202129454</v>
      </c>
      <c r="Q40">
        <v>2257090.5251698801</v>
      </c>
      <c r="R40">
        <v>1949044.4993930866</v>
      </c>
      <c r="S40">
        <v>1929431.2858223852</v>
      </c>
      <c r="T40">
        <v>2121262.815284363</v>
      </c>
      <c r="U40">
        <v>2196930.5624447013</v>
      </c>
      <c r="V40">
        <v>2316924.5338642788</v>
      </c>
      <c r="W40">
        <v>2194506.829811017</v>
      </c>
      <c r="X40">
        <v>2179698.5936204493</v>
      </c>
      <c r="Y40">
        <v>2196520.9310928723</v>
      </c>
      <c r="Z40">
        <v>2458801.9841941702</v>
      </c>
      <c r="AA40">
        <v>2258874.5371194221</v>
      </c>
      <c r="AB40">
        <v>2305634.7333588805</v>
      </c>
      <c r="AC40">
        <v>2404924.729409772</v>
      </c>
      <c r="AD40">
        <v>2439866.5728266281</v>
      </c>
      <c r="AE40">
        <v>2399835.9743548553</v>
      </c>
      <c r="AF40">
        <v>2362950.1592596048</v>
      </c>
      <c r="AG40">
        <v>2382903.1350923534</v>
      </c>
      <c r="AH40">
        <v>2483847.5474000662</v>
      </c>
      <c r="AI40">
        <v>2401797.0937417108</v>
      </c>
      <c r="AJ40">
        <v>2375027.7341385949</v>
      </c>
      <c r="AK40">
        <v>2433308.1614651703</v>
      </c>
      <c r="AL40">
        <v>2386539.6605361099</v>
      </c>
      <c r="AM40">
        <v>2492291.6872046185</v>
      </c>
      <c r="AN40">
        <v>2537242.9257379193</v>
      </c>
      <c r="AO40">
        <v>2439351.8542742203</v>
      </c>
      <c r="AP40">
        <v>2510271.1903043799</v>
      </c>
    </row>
    <row r="41" spans="5:50" x14ac:dyDescent="0.2">
      <c r="E41">
        <v>1900</v>
      </c>
      <c r="F41">
        <v>1590757.7884461791</v>
      </c>
      <c r="G41">
        <v>1637722.6460918533</v>
      </c>
      <c r="H41">
        <v>1812293.9375687803</v>
      </c>
      <c r="I41">
        <v>1896345.3565763016</v>
      </c>
      <c r="J41">
        <v>1726259.6610468391</v>
      </c>
      <c r="K41">
        <v>1931994.2833601385</v>
      </c>
      <c r="L41">
        <v>1767970.6866101066</v>
      </c>
      <c r="M41">
        <v>2044923.6864724369</v>
      </c>
      <c r="N41">
        <v>1952243.8044356653</v>
      </c>
      <c r="O41">
        <v>1980004.8272019248</v>
      </c>
      <c r="P41">
        <v>2197692.0161885833</v>
      </c>
      <c r="Q41">
        <v>2139404.2768794526</v>
      </c>
      <c r="R41">
        <v>2068581.4087183087</v>
      </c>
      <c r="S41">
        <v>2182465.0976376664</v>
      </c>
      <c r="T41">
        <v>2087620.8633568431</v>
      </c>
      <c r="U41">
        <v>2072650.8808965443</v>
      </c>
      <c r="V41">
        <v>2242801.9371683053</v>
      </c>
      <c r="W41">
        <v>2348092.8920615166</v>
      </c>
      <c r="X41">
        <v>2192314.4289616267</v>
      </c>
      <c r="Y41">
        <v>2203868.5432393672</v>
      </c>
      <c r="Z41">
        <v>2433382.1881544148</v>
      </c>
      <c r="AA41">
        <v>2414424.1609654552</v>
      </c>
      <c r="AB41">
        <v>2454687.782234373</v>
      </c>
      <c r="AC41">
        <v>2351325.6390274083</v>
      </c>
      <c r="AD41">
        <v>2555165.0767739783</v>
      </c>
      <c r="AE41">
        <v>2458173.1133506866</v>
      </c>
      <c r="AF41">
        <v>2520802.6947390642</v>
      </c>
      <c r="AG41">
        <v>2415488.8605544823</v>
      </c>
      <c r="AH41">
        <v>2395537.9362758487</v>
      </c>
      <c r="AI41">
        <v>2448265.6174887666</v>
      </c>
      <c r="AJ41">
        <v>2453387.0165255149</v>
      </c>
      <c r="AK41">
        <v>2471765.8553161644</v>
      </c>
      <c r="AL41">
        <v>2457737.0652283579</v>
      </c>
      <c r="AM41">
        <v>2487632.2934041102</v>
      </c>
      <c r="AN41">
        <v>2466508.4644578635</v>
      </c>
      <c r="AO41">
        <v>2498878.881209922</v>
      </c>
      <c r="AP41">
        <v>2508241.2523089321</v>
      </c>
      <c r="AQ41">
        <v>2465972.8793385592</v>
      </c>
    </row>
    <row r="42" spans="5:50" x14ac:dyDescent="0.2">
      <c r="E42">
        <v>1950</v>
      </c>
      <c r="F42">
        <v>1763795.1473952562</v>
      </c>
      <c r="G42">
        <v>1760481.1584255788</v>
      </c>
      <c r="H42">
        <v>1773021.1264058091</v>
      </c>
      <c r="I42">
        <v>1948804.1785615266</v>
      </c>
      <c r="J42">
        <v>1716519.9485113607</v>
      </c>
      <c r="K42">
        <v>1805182.6481664027</v>
      </c>
      <c r="L42">
        <v>1950510.1426011589</v>
      </c>
      <c r="M42">
        <v>2045048.192044023</v>
      </c>
      <c r="N42">
        <v>1936638.7462654498</v>
      </c>
      <c r="O42">
        <v>1895035.3321103964</v>
      </c>
      <c r="P42">
        <v>2019312.2062453837</v>
      </c>
      <c r="Q42">
        <v>2098332.2048427146</v>
      </c>
      <c r="R42">
        <v>2108679.9848967916</v>
      </c>
      <c r="S42">
        <v>2122394.9184570243</v>
      </c>
      <c r="T42">
        <v>2240566.4479732509</v>
      </c>
      <c r="U42">
        <v>2209686.9361646399</v>
      </c>
      <c r="V42">
        <v>2227667.0216977671</v>
      </c>
      <c r="W42">
        <v>2326402.1504200017</v>
      </c>
      <c r="X42">
        <v>2273722.9105784572</v>
      </c>
      <c r="Y42">
        <v>2285027.1196262445</v>
      </c>
      <c r="Z42">
        <v>2477409.0123750726</v>
      </c>
      <c r="AA42">
        <v>2266041.7684003785</v>
      </c>
      <c r="AB42">
        <v>2464769.8492328175</v>
      </c>
      <c r="AC42">
        <v>2486395.7269934015</v>
      </c>
      <c r="AD42">
        <v>2429722.4366125721</v>
      </c>
      <c r="AE42">
        <v>2416233.282741671</v>
      </c>
      <c r="AF42">
        <v>2442362.8349607359</v>
      </c>
      <c r="AG42">
        <v>2445922.1722242152</v>
      </c>
      <c r="AH42">
        <v>2511789.4224534747</v>
      </c>
      <c r="AI42">
        <v>2479360.9390970166</v>
      </c>
      <c r="AJ42">
        <v>2424344.3322762018</v>
      </c>
      <c r="AK42">
        <v>2491008.0160723645</v>
      </c>
      <c r="AL42">
        <v>2519049.4660448586</v>
      </c>
      <c r="AM42">
        <v>2461801.2084359583</v>
      </c>
      <c r="AN42">
        <v>2498049.1746911532</v>
      </c>
      <c r="AO42">
        <v>2477470.9943615645</v>
      </c>
      <c r="AP42">
        <v>2498226.5575216198</v>
      </c>
      <c r="AQ42">
        <v>2481949.3523293338</v>
      </c>
      <c r="AR42">
        <v>2480913.5770365526</v>
      </c>
    </row>
    <row r="43" spans="5:50" x14ac:dyDescent="0.2">
      <c r="E43">
        <v>2000</v>
      </c>
      <c r="F43">
        <v>1759706.8578970621</v>
      </c>
      <c r="G43">
        <v>1656224.6609224128</v>
      </c>
      <c r="H43">
        <v>1617694.9585510981</v>
      </c>
      <c r="I43">
        <v>1717771.8798814765</v>
      </c>
      <c r="J43">
        <v>1813224.0692747061</v>
      </c>
      <c r="K43">
        <v>1952098.8648677531</v>
      </c>
      <c r="L43">
        <v>1758158.1347856675</v>
      </c>
      <c r="M43">
        <v>1872329.0771073543</v>
      </c>
      <c r="N43">
        <v>2044109.6037554317</v>
      </c>
      <c r="O43">
        <v>1879470.6220565874</v>
      </c>
      <c r="P43">
        <v>1997273.9028188926</v>
      </c>
      <c r="Q43">
        <v>2097535.2499790764</v>
      </c>
      <c r="R43">
        <v>2080589.2834465832</v>
      </c>
      <c r="S43">
        <v>2230978.9387215292</v>
      </c>
      <c r="T43">
        <v>2065613.770700722</v>
      </c>
      <c r="U43">
        <v>2255438.3634329499</v>
      </c>
      <c r="V43">
        <v>2325163.0315011605</v>
      </c>
      <c r="W43">
        <v>2206854.2327945302</v>
      </c>
      <c r="X43">
        <v>2213909.4231692362</v>
      </c>
      <c r="Y43">
        <v>2364695.0573183475</v>
      </c>
      <c r="Z43">
        <v>2361974.6972323461</v>
      </c>
      <c r="AA43">
        <v>2372148.1367860558</v>
      </c>
      <c r="AB43">
        <v>2389582.0470699347</v>
      </c>
      <c r="AC43">
        <v>2482031.3223610003</v>
      </c>
      <c r="AD43">
        <v>2384729.2270168662</v>
      </c>
      <c r="AE43">
        <v>2504102.0879621855</v>
      </c>
      <c r="AF43">
        <v>2441650.6773532489</v>
      </c>
      <c r="AG43">
        <v>2436662.6282235095</v>
      </c>
      <c r="AH43">
        <v>2485829.8058075602</v>
      </c>
      <c r="AI43">
        <v>2473200.4123730864</v>
      </c>
      <c r="AJ43">
        <v>2442956.1885570711</v>
      </c>
      <c r="AK43">
        <v>2484768.6281664656</v>
      </c>
      <c r="AL43">
        <v>2520457.0084869051</v>
      </c>
      <c r="AM43">
        <v>2484639.3618532377</v>
      </c>
      <c r="AN43">
        <v>2508394.7531319968</v>
      </c>
      <c r="AO43">
        <v>2542795.2279080329</v>
      </c>
      <c r="AP43">
        <v>2492995.1733856383</v>
      </c>
      <c r="AQ43">
        <v>2477429.584019362</v>
      </c>
      <c r="AR43">
        <v>2501121.656919749</v>
      </c>
      <c r="AS43">
        <v>2432004.1299298294</v>
      </c>
    </row>
    <row r="44" spans="5:50" x14ac:dyDescent="0.2">
      <c r="E44">
        <v>2050</v>
      </c>
      <c r="F44">
        <v>1756277.0046499204</v>
      </c>
      <c r="G44">
        <v>1781851.5217748182</v>
      </c>
      <c r="H44">
        <v>1701297.8515264525</v>
      </c>
      <c r="I44">
        <v>1616580.5940358841</v>
      </c>
      <c r="J44">
        <v>1873800.36325619</v>
      </c>
      <c r="K44">
        <v>1717287.645752047</v>
      </c>
      <c r="L44">
        <v>1819502.0380019427</v>
      </c>
      <c r="M44">
        <v>2033362.9632921119</v>
      </c>
      <c r="N44">
        <v>1907853.0599209892</v>
      </c>
      <c r="O44">
        <v>1985714.2399165533</v>
      </c>
      <c r="P44">
        <v>1836652.6529677443</v>
      </c>
      <c r="Q44">
        <v>2034219.1718423753</v>
      </c>
      <c r="R44">
        <v>2050864.1571056168</v>
      </c>
      <c r="S44">
        <v>2097294.0211876077</v>
      </c>
      <c r="T44">
        <v>2157410.8365035667</v>
      </c>
      <c r="U44">
        <v>2142917.9373995699</v>
      </c>
      <c r="V44">
        <v>2211723.8558923723</v>
      </c>
      <c r="W44">
        <v>2226107.7879584087</v>
      </c>
      <c r="X44">
        <v>2271411.8143515736</v>
      </c>
      <c r="Y44">
        <v>2292505.4047208526</v>
      </c>
      <c r="Z44">
        <v>2335677.7848633341</v>
      </c>
      <c r="AA44">
        <v>2397098.2268671575</v>
      </c>
      <c r="AB44">
        <v>2428688.9208345544</v>
      </c>
      <c r="AC44">
        <v>2330335.0591243426</v>
      </c>
      <c r="AD44">
        <v>2440448.764153162</v>
      </c>
      <c r="AE44">
        <v>2367029.1372880684</v>
      </c>
      <c r="AF44">
        <v>2515236.9458378395</v>
      </c>
      <c r="AG44">
        <v>2493144.3441963717</v>
      </c>
      <c r="AH44">
        <v>2405912.2782124095</v>
      </c>
      <c r="AI44">
        <v>2436413.3917454169</v>
      </c>
      <c r="AJ44">
        <v>2496740.1478732307</v>
      </c>
      <c r="AK44">
        <v>2483475.5577707416</v>
      </c>
      <c r="AL44">
        <v>2458971.0641454509</v>
      </c>
      <c r="AM44">
        <v>2513112.8659143997</v>
      </c>
      <c r="AN44">
        <v>2504978.1499717021</v>
      </c>
      <c r="AO44">
        <v>2482400.3263675719</v>
      </c>
      <c r="AP44">
        <v>2491791.1747971675</v>
      </c>
      <c r="AQ44">
        <v>2463123.3754436714</v>
      </c>
      <c r="AR44">
        <v>2454894.7658401378</v>
      </c>
      <c r="AS44">
        <v>2502389.3071253304</v>
      </c>
      <c r="AT44">
        <v>2522043.9428561474</v>
      </c>
    </row>
    <row r="45" spans="5:50" x14ac:dyDescent="0.2">
      <c r="E45">
        <v>2100</v>
      </c>
      <c r="F45">
        <v>1790438.5216686367</v>
      </c>
      <c r="G45">
        <v>1868531.2213875428</v>
      </c>
      <c r="H45">
        <v>1653209.9508408112</v>
      </c>
      <c r="I45">
        <v>1915648.0646040917</v>
      </c>
      <c r="J45">
        <v>1798548.8997870418</v>
      </c>
      <c r="K45">
        <v>1780177.0292615464</v>
      </c>
      <c r="L45">
        <v>1925551.5357418507</v>
      </c>
      <c r="M45">
        <v>1738933.9683367773</v>
      </c>
      <c r="N45">
        <v>2043722.3122351682</v>
      </c>
      <c r="O45">
        <v>2156274.3244757927</v>
      </c>
      <c r="P45">
        <v>2163885.7668680027</v>
      </c>
      <c r="Q45">
        <v>2046172.0307452707</v>
      </c>
      <c r="R45">
        <v>2080500.5072488203</v>
      </c>
      <c r="S45">
        <v>2219617.4794260338</v>
      </c>
      <c r="T45">
        <v>2247343.8007910452</v>
      </c>
      <c r="U45">
        <v>2275080.5223310664</v>
      </c>
      <c r="V45">
        <v>2243317.817037099</v>
      </c>
      <c r="W45">
        <v>2366198.0988354059</v>
      </c>
      <c r="X45">
        <v>2162208.1155895889</v>
      </c>
      <c r="Y45">
        <v>2274703.2549029849</v>
      </c>
      <c r="Z45">
        <v>2232792.1490555098</v>
      </c>
      <c r="AA45">
        <v>2446611.9380503083</v>
      </c>
      <c r="AB45">
        <v>2447490.4249817138</v>
      </c>
      <c r="AC45">
        <v>2412443.6696957326</v>
      </c>
      <c r="AD45">
        <v>2282581.2179124695</v>
      </c>
      <c r="AE45">
        <v>2472136.6055207597</v>
      </c>
      <c r="AF45">
        <v>2500025.7146206177</v>
      </c>
      <c r="AG45">
        <v>2376604.2147857784</v>
      </c>
      <c r="AH45">
        <v>2404046.460482826</v>
      </c>
      <c r="AI45">
        <v>2482094.9105074443</v>
      </c>
      <c r="AJ45">
        <v>2478910.9810079983</v>
      </c>
      <c r="AK45">
        <v>2497496.1800374952</v>
      </c>
      <c r="AL45">
        <v>2501858.2343606148</v>
      </c>
      <c r="AM45">
        <v>2490422.1504613222</v>
      </c>
      <c r="AN45">
        <v>2520565.9518574094</v>
      </c>
      <c r="AO45">
        <v>2499270.4932422973</v>
      </c>
      <c r="AP45">
        <v>2455997.6044776845</v>
      </c>
      <c r="AQ45">
        <v>2543112.0171888852</v>
      </c>
      <c r="AR45">
        <v>2464296.947006905</v>
      </c>
      <c r="AS45">
        <v>2493677.9579749145</v>
      </c>
      <c r="AT45">
        <v>2494059.4002391398</v>
      </c>
      <c r="AU45">
        <v>2472715.9667575271</v>
      </c>
    </row>
    <row r="46" spans="5:50" x14ac:dyDescent="0.2">
      <c r="E46">
        <v>2150</v>
      </c>
      <c r="F46">
        <v>1757921.9491005659</v>
      </c>
      <c r="G46">
        <v>1673227.8098648584</v>
      </c>
      <c r="H46">
        <v>1787698.7557323398</v>
      </c>
      <c r="I46">
        <v>1817477.1869372618</v>
      </c>
      <c r="J46">
        <v>1743085.7599183237</v>
      </c>
      <c r="K46">
        <v>1871633.5166049185</v>
      </c>
      <c r="L46">
        <v>2089964.2001160947</v>
      </c>
      <c r="M46">
        <v>1979166.8176495193</v>
      </c>
      <c r="N46">
        <v>2002507.1680383305</v>
      </c>
      <c r="O46">
        <v>2114357.0125395148</v>
      </c>
      <c r="P46">
        <v>1915721.5830283412</v>
      </c>
      <c r="Q46">
        <v>2125147.9192726766</v>
      </c>
      <c r="R46">
        <v>2156733.2901490103</v>
      </c>
      <c r="S46">
        <v>2054115.3215861602</v>
      </c>
      <c r="T46">
        <v>2093433.9899626023</v>
      </c>
      <c r="U46">
        <v>2285806.5782993962</v>
      </c>
      <c r="V46">
        <v>2181015.3733786191</v>
      </c>
      <c r="W46">
        <v>2319648.2426842456</v>
      </c>
      <c r="X46">
        <v>2351055.8461772436</v>
      </c>
      <c r="Y46">
        <v>2280796.5433336264</v>
      </c>
      <c r="Z46">
        <v>2288436.5935112005</v>
      </c>
      <c r="AA46">
        <v>2371692.214627801</v>
      </c>
      <c r="AB46">
        <v>2313947.4041745132</v>
      </c>
      <c r="AC46">
        <v>2364624.9643495786</v>
      </c>
      <c r="AD46">
        <v>2467876.7606634684</v>
      </c>
      <c r="AE46">
        <v>2487791.5637621121</v>
      </c>
      <c r="AF46">
        <v>2457277.320380196</v>
      </c>
      <c r="AG46">
        <v>2508361.6123587661</v>
      </c>
      <c r="AH46">
        <v>2494721.6773428335</v>
      </c>
      <c r="AI46">
        <v>2504530.7994650789</v>
      </c>
      <c r="AJ46">
        <v>2534596.3811690407</v>
      </c>
      <c r="AK46">
        <v>2542252.1362023074</v>
      </c>
      <c r="AL46">
        <v>2529875.3111795094</v>
      </c>
      <c r="AM46">
        <v>2489093.2463364163</v>
      </c>
      <c r="AN46">
        <v>2452605.1348345224</v>
      </c>
      <c r="AO46">
        <v>2521034.7913014693</v>
      </c>
      <c r="AP46">
        <v>2483646.9765132987</v>
      </c>
      <c r="AQ46">
        <v>2493681.1986300866</v>
      </c>
      <c r="AR46">
        <v>2515572.2298151357</v>
      </c>
      <c r="AS46">
        <v>2511851.1741522802</v>
      </c>
      <c r="AT46">
        <v>2514409.5495075923</v>
      </c>
      <c r="AU46">
        <v>2538541.571353022</v>
      </c>
      <c r="AV46">
        <v>2499163.2253066641</v>
      </c>
    </row>
    <row r="47" spans="5:50" x14ac:dyDescent="0.2">
      <c r="E47">
        <v>2200</v>
      </c>
      <c r="F47">
        <v>1703354.6383216332</v>
      </c>
      <c r="G47">
        <v>1887495.9232970953</v>
      </c>
      <c r="H47">
        <v>1837008.1075511354</v>
      </c>
      <c r="I47">
        <v>1887893.5204435086</v>
      </c>
      <c r="J47">
        <v>1947229.2822125189</v>
      </c>
      <c r="K47">
        <v>1835150.9357588231</v>
      </c>
      <c r="L47">
        <v>1884327.4914402752</v>
      </c>
      <c r="M47">
        <v>2059315.9230439747</v>
      </c>
      <c r="N47">
        <v>1854534.0115616636</v>
      </c>
      <c r="O47">
        <v>2221500.3950161049</v>
      </c>
      <c r="P47">
        <v>2183205.9048986356</v>
      </c>
      <c r="Q47">
        <v>1990833.8653559452</v>
      </c>
      <c r="R47">
        <v>2091090.5564908043</v>
      </c>
      <c r="S47">
        <v>2075492.329339376</v>
      </c>
      <c r="T47">
        <v>2050455.4590651828</v>
      </c>
      <c r="U47">
        <v>2179956.7997518233</v>
      </c>
      <c r="V47">
        <v>2355610.8245682158</v>
      </c>
      <c r="W47">
        <v>2340321.9850964975</v>
      </c>
      <c r="X47">
        <v>2285313.7768386151</v>
      </c>
      <c r="Y47">
        <v>2285135.8663682714</v>
      </c>
      <c r="Z47">
        <v>2265995.0004252591</v>
      </c>
      <c r="AA47">
        <v>2282881.1463508857</v>
      </c>
      <c r="AB47">
        <v>2456310.1458337894</v>
      </c>
      <c r="AC47">
        <v>2490090.1995358393</v>
      </c>
      <c r="AD47">
        <v>2387206.8702105214</v>
      </c>
      <c r="AE47">
        <v>2299649.2555618118</v>
      </c>
      <c r="AF47">
        <v>2497325.9950364162</v>
      </c>
      <c r="AG47">
        <v>2523434.3932558885</v>
      </c>
      <c r="AH47">
        <v>2519356.9449612019</v>
      </c>
      <c r="AI47">
        <v>2520797.4569912371</v>
      </c>
      <c r="AJ47">
        <v>2509786.519335214</v>
      </c>
      <c r="AK47">
        <v>2549961.5014342638</v>
      </c>
      <c r="AL47">
        <v>2515586.7568957149</v>
      </c>
      <c r="AM47">
        <v>2509763.6927766297</v>
      </c>
      <c r="AN47">
        <v>2481824.6278053918</v>
      </c>
      <c r="AO47">
        <v>2487541.0363524291</v>
      </c>
      <c r="AP47">
        <v>2535595.2956624227</v>
      </c>
      <c r="AQ47">
        <v>2543446.1273640972</v>
      </c>
      <c r="AR47">
        <v>2531622.7514564684</v>
      </c>
      <c r="AS47">
        <v>2489074.1768833012</v>
      </c>
      <c r="AT47">
        <v>2491406.9028381011</v>
      </c>
      <c r="AU47">
        <v>2534262.4463212555</v>
      </c>
      <c r="AV47">
        <v>2489468.3251124234</v>
      </c>
      <c r="AW47">
        <v>2517458.867337402</v>
      </c>
    </row>
    <row r="48" spans="5:50" x14ac:dyDescent="0.2">
      <c r="E48">
        <v>2250</v>
      </c>
      <c r="F48">
        <v>1790653.1965477332</v>
      </c>
      <c r="G48">
        <v>1730736.6133564967</v>
      </c>
      <c r="H48">
        <v>1836221.1544024812</v>
      </c>
      <c r="I48">
        <v>1700243.5684185983</v>
      </c>
      <c r="J48">
        <v>1776636.7719886829</v>
      </c>
      <c r="K48">
        <v>1834787.6175938179</v>
      </c>
      <c r="L48">
        <v>1958105.9402020941</v>
      </c>
      <c r="M48">
        <v>1977204.2081150459</v>
      </c>
      <c r="N48">
        <v>2055021.6535903325</v>
      </c>
      <c r="O48">
        <v>2029363.4675859532</v>
      </c>
      <c r="P48">
        <v>2044987.0528919667</v>
      </c>
      <c r="Q48">
        <v>2332814.0617748792</v>
      </c>
      <c r="R48">
        <v>2324490.4453364653</v>
      </c>
      <c r="S48">
        <v>2187651.4398631915</v>
      </c>
      <c r="T48">
        <v>2192314.0829594987</v>
      </c>
      <c r="U48">
        <v>2198984.1466049156</v>
      </c>
      <c r="V48">
        <v>2246937.6451938231</v>
      </c>
      <c r="W48">
        <v>2178948.4861966395</v>
      </c>
      <c r="X48">
        <v>2347282.1865979577</v>
      </c>
      <c r="Y48">
        <v>2353255.0248338915</v>
      </c>
      <c r="Z48">
        <v>2355956.4731059545</v>
      </c>
      <c r="AA48">
        <v>2256758.1416111747</v>
      </c>
      <c r="AB48">
        <v>2299129.7155920225</v>
      </c>
      <c r="AC48">
        <v>2428286.877906539</v>
      </c>
      <c r="AD48">
        <v>2359653.3575715618</v>
      </c>
      <c r="AE48">
        <v>2470469.4745381949</v>
      </c>
      <c r="AF48">
        <v>2467896.1713872105</v>
      </c>
      <c r="AG48">
        <v>2432485.2939184653</v>
      </c>
      <c r="AH48">
        <v>2524487.3609881969</v>
      </c>
      <c r="AI48">
        <v>2518534.573148563</v>
      </c>
      <c r="AJ48">
        <v>2537891.2249341677</v>
      </c>
      <c r="AK48">
        <v>2518694.4456481538</v>
      </c>
      <c r="AL48">
        <v>2440573.6918767225</v>
      </c>
      <c r="AM48">
        <v>2522360.9984851987</v>
      </c>
      <c r="AN48">
        <v>2518247.7307766164</v>
      </c>
      <c r="AO48">
        <v>2543672.8801692268</v>
      </c>
      <c r="AP48">
        <v>2508583.3346865959</v>
      </c>
      <c r="AQ48">
        <v>2499965.8649609033</v>
      </c>
      <c r="AR48">
        <v>2565362.7772100167</v>
      </c>
      <c r="AS48">
        <v>2501815.52221472</v>
      </c>
      <c r="AT48">
        <v>2543925.2073304569</v>
      </c>
      <c r="AU48">
        <v>2531927.7349330997</v>
      </c>
      <c r="AV48">
        <v>2535630.0931627676</v>
      </c>
      <c r="AW48">
        <v>2499281.8620235994</v>
      </c>
      <c r="AX48">
        <v>2499644.7131508365</v>
      </c>
    </row>
    <row r="49" spans="5:55" x14ac:dyDescent="0.2">
      <c r="E49">
        <v>2300</v>
      </c>
      <c r="F49">
        <v>1817223.1751455397</v>
      </c>
      <c r="G49">
        <v>1895987.5883345623</v>
      </c>
      <c r="H49">
        <v>1846333.1104306153</v>
      </c>
      <c r="I49">
        <v>1847999.1608698508</v>
      </c>
      <c r="J49">
        <v>1784671.2373011047</v>
      </c>
      <c r="K49">
        <v>1761404.0977782924</v>
      </c>
      <c r="L49">
        <v>2062093.7462447109</v>
      </c>
      <c r="M49">
        <v>1955109.3462805094</v>
      </c>
      <c r="N49">
        <v>1802100.0849628244</v>
      </c>
      <c r="O49">
        <v>2118923.1675771712</v>
      </c>
      <c r="P49">
        <v>1985863.9736072563</v>
      </c>
      <c r="Q49">
        <v>2120335.5840571057</v>
      </c>
      <c r="R49">
        <v>2043803.9135933083</v>
      </c>
      <c r="S49">
        <v>2239968.2977867783</v>
      </c>
      <c r="T49">
        <v>2271232.480485477</v>
      </c>
      <c r="U49">
        <v>2130773.9783368125</v>
      </c>
      <c r="V49">
        <v>2332665.0834211335</v>
      </c>
      <c r="W49">
        <v>2275834.8910209942</v>
      </c>
      <c r="X49">
        <v>2314067.1320688627</v>
      </c>
      <c r="Y49">
        <v>2310841.2471607258</v>
      </c>
      <c r="Z49">
        <v>2373828.8211772097</v>
      </c>
      <c r="AA49">
        <v>2392408.812658628</v>
      </c>
      <c r="AB49">
        <v>2376389.1694964478</v>
      </c>
      <c r="AC49">
        <v>2444308.8962761499</v>
      </c>
      <c r="AD49">
        <v>2499171.7913456857</v>
      </c>
      <c r="AE49">
        <v>2437645.1290264446</v>
      </c>
      <c r="AF49">
        <v>2417792.0162097388</v>
      </c>
      <c r="AG49">
        <v>2386260.7022698727</v>
      </c>
      <c r="AH49">
        <v>2472513.2550623864</v>
      </c>
      <c r="AI49">
        <v>2514300.5774146253</v>
      </c>
      <c r="AJ49">
        <v>2498936.1919640875</v>
      </c>
      <c r="AK49">
        <v>2500792.9948311457</v>
      </c>
      <c r="AL49">
        <v>2529626.3313921127</v>
      </c>
      <c r="AM49">
        <v>2542335.4351681853</v>
      </c>
      <c r="AN49">
        <v>2474060.2386803953</v>
      </c>
      <c r="AO49">
        <v>2542177.6729292115</v>
      </c>
      <c r="AP49">
        <v>2544470.1840205505</v>
      </c>
      <c r="AQ49">
        <v>2505204.0857931562</v>
      </c>
      <c r="AR49">
        <v>2523275.1942271711</v>
      </c>
      <c r="AS49">
        <v>2533707.0493665012</v>
      </c>
      <c r="AT49">
        <v>2500518.9988731653</v>
      </c>
      <c r="AU49">
        <v>2503106.6626012786</v>
      </c>
      <c r="AV49">
        <v>2502563.8980368148</v>
      </c>
      <c r="AW49">
        <v>2514996.7142423727</v>
      </c>
      <c r="AX49">
        <v>2527141.1921917996</v>
      </c>
      <c r="AY49">
        <v>2497653.1367029459</v>
      </c>
    </row>
    <row r="50" spans="5:55" x14ac:dyDescent="0.2">
      <c r="E50">
        <v>2350</v>
      </c>
      <c r="F50">
        <v>1734936.6897767312</v>
      </c>
      <c r="G50">
        <v>1808764.9438785501</v>
      </c>
      <c r="H50">
        <v>1982905.0273308137</v>
      </c>
      <c r="I50">
        <v>1930944.517251842</v>
      </c>
      <c r="J50">
        <v>1852948.7765288907</v>
      </c>
      <c r="K50">
        <v>1955310.904654016</v>
      </c>
      <c r="L50">
        <v>2112502.8907160047</v>
      </c>
      <c r="M50">
        <v>1946603.1324141324</v>
      </c>
      <c r="N50">
        <v>1910246.0921437244</v>
      </c>
      <c r="O50">
        <v>2065684.4455562886</v>
      </c>
      <c r="P50">
        <v>2044951.8434212131</v>
      </c>
      <c r="Q50">
        <v>2115662.6802774714</v>
      </c>
      <c r="R50">
        <v>2091107.31887751</v>
      </c>
      <c r="S50">
        <v>2191624.1952382918</v>
      </c>
      <c r="T50">
        <v>2125745.034270186</v>
      </c>
      <c r="U50">
        <v>2290885.417032084</v>
      </c>
      <c r="V50">
        <v>2241959.3458529636</v>
      </c>
      <c r="W50">
        <v>2351816.4425072907</v>
      </c>
      <c r="X50">
        <v>2366091.3080443731</v>
      </c>
      <c r="Y50">
        <v>2144196.7520100013</v>
      </c>
      <c r="Z50">
        <v>2375453.6140107508</v>
      </c>
      <c r="AA50">
        <v>2330265.361611045</v>
      </c>
      <c r="AB50">
        <v>2328738.7290767874</v>
      </c>
      <c r="AC50">
        <v>2330819.1341059734</v>
      </c>
      <c r="AD50">
        <v>2413378.4208169021</v>
      </c>
      <c r="AE50">
        <v>2482665.5168334139</v>
      </c>
      <c r="AF50">
        <v>2530854.13919097</v>
      </c>
      <c r="AG50">
        <v>2500741.6790309129</v>
      </c>
      <c r="AH50">
        <v>2517627.5594029417</v>
      </c>
      <c r="AI50">
        <v>2484455.7865774017</v>
      </c>
      <c r="AJ50">
        <v>2545236.9217469576</v>
      </c>
      <c r="AK50">
        <v>2557317.6048675906</v>
      </c>
      <c r="AL50">
        <v>2543393.3532133801</v>
      </c>
      <c r="AM50">
        <v>2545842.6353372289</v>
      </c>
      <c r="AN50">
        <v>2504202.0882298136</v>
      </c>
      <c r="AO50">
        <v>2500667.3133999417</v>
      </c>
      <c r="AP50">
        <v>2518645.2301733741</v>
      </c>
      <c r="AQ50">
        <v>2535239.0954382331</v>
      </c>
      <c r="AR50">
        <v>2512484.6248515984</v>
      </c>
      <c r="AS50">
        <v>2539978.407765172</v>
      </c>
      <c r="AT50">
        <v>2561584.02227447</v>
      </c>
      <c r="AU50">
        <v>2503236.5077212225</v>
      </c>
      <c r="AV50">
        <v>2503376.2105870182</v>
      </c>
      <c r="AW50">
        <v>2554155.9996970301</v>
      </c>
      <c r="AX50">
        <v>2521916.4266088814</v>
      </c>
      <c r="AY50">
        <v>2515348.196835483</v>
      </c>
      <c r="AZ50">
        <v>2528981.9533123937</v>
      </c>
    </row>
    <row r="51" spans="5:55" x14ac:dyDescent="0.2">
      <c r="E51">
        <v>2400</v>
      </c>
      <c r="F51">
        <v>1834496.3795632781</v>
      </c>
      <c r="G51">
        <v>1771512.0192370496</v>
      </c>
      <c r="H51">
        <v>1762096.7044831656</v>
      </c>
      <c r="I51">
        <v>1846192.2206330169</v>
      </c>
      <c r="J51">
        <v>2007038.6825886394</v>
      </c>
      <c r="K51">
        <v>1939545.196368272</v>
      </c>
      <c r="L51">
        <v>1864229.4111865091</v>
      </c>
      <c r="M51">
        <v>1959316.3781770684</v>
      </c>
      <c r="N51">
        <v>1982325.7421938367</v>
      </c>
      <c r="O51">
        <v>2010364.1597687048</v>
      </c>
      <c r="P51">
        <v>2064296.1635807704</v>
      </c>
      <c r="Q51">
        <v>2087226.8819509642</v>
      </c>
      <c r="R51">
        <v>2187696.2326703579</v>
      </c>
      <c r="S51">
        <v>1997145.3925434868</v>
      </c>
      <c r="T51">
        <v>2127432.8588642236</v>
      </c>
      <c r="U51">
        <v>2267270.0170180718</v>
      </c>
      <c r="V51">
        <v>2216333.3847793397</v>
      </c>
      <c r="W51">
        <v>2364722.6253017127</v>
      </c>
      <c r="X51">
        <v>2333426.5155289392</v>
      </c>
      <c r="Y51">
        <v>2427192.9812893616</v>
      </c>
      <c r="Z51">
        <v>2174711.388420606</v>
      </c>
      <c r="AA51">
        <v>2251726.1742096292</v>
      </c>
      <c r="AB51">
        <v>2326545.1221127184</v>
      </c>
      <c r="AC51">
        <v>2444068.3901865496</v>
      </c>
      <c r="AD51">
        <v>2504567.0926629677</v>
      </c>
      <c r="AE51">
        <v>2525214.5670063677</v>
      </c>
      <c r="AF51">
        <v>2385603.3630569978</v>
      </c>
      <c r="AG51">
        <v>2473645.3947214871</v>
      </c>
      <c r="AH51">
        <v>2462960.2154563754</v>
      </c>
      <c r="AI51">
        <v>2439509.6106601367</v>
      </c>
      <c r="AJ51">
        <v>2578075.0078971894</v>
      </c>
      <c r="AK51">
        <v>2515313.1998098334</v>
      </c>
      <c r="AL51">
        <v>2505769.1242012591</v>
      </c>
      <c r="AM51">
        <v>2528213.7202552822</v>
      </c>
      <c r="AN51">
        <v>2513389.0188068496</v>
      </c>
      <c r="AO51">
        <v>2538614.4044820266</v>
      </c>
      <c r="AP51">
        <v>2481809.1352963834</v>
      </c>
      <c r="AQ51">
        <v>2501043.6329044532</v>
      </c>
      <c r="AR51">
        <v>2469263.5407135589</v>
      </c>
      <c r="AS51">
        <v>2529249.6949226283</v>
      </c>
      <c r="AT51">
        <v>2498362.2071874957</v>
      </c>
      <c r="AU51">
        <v>2552120.0881795338</v>
      </c>
      <c r="AV51">
        <v>2549027.5520629711</v>
      </c>
      <c r="AW51">
        <v>2538755.7388998028</v>
      </c>
      <c r="AX51">
        <v>2512435.1653140341</v>
      </c>
      <c r="AY51">
        <v>2533103.5109819723</v>
      </c>
      <c r="AZ51">
        <v>2512338.9764455101</v>
      </c>
      <c r="BA51">
        <v>2550878.3648358379</v>
      </c>
    </row>
    <row r="52" spans="5:55" x14ac:dyDescent="0.2">
      <c r="E52">
        <v>2450</v>
      </c>
      <c r="F52">
        <v>1756553.2143680556</v>
      </c>
      <c r="G52">
        <v>1836690.4630676045</v>
      </c>
      <c r="H52">
        <v>1766050.266455628</v>
      </c>
      <c r="I52">
        <v>1663040.4878441999</v>
      </c>
      <c r="J52">
        <v>1882619.1885240029</v>
      </c>
      <c r="K52">
        <v>2071342.2702649604</v>
      </c>
      <c r="L52">
        <v>2022934.0529161287</v>
      </c>
      <c r="M52">
        <v>1889729.6220113577</v>
      </c>
      <c r="N52">
        <v>2149424.1430030325</v>
      </c>
      <c r="O52">
        <v>2118481.4184989077</v>
      </c>
      <c r="P52">
        <v>1916332.819040254</v>
      </c>
      <c r="Q52">
        <v>2134272.4946655435</v>
      </c>
      <c r="R52">
        <v>2284412.6706116647</v>
      </c>
      <c r="S52">
        <v>2259781.5222871532</v>
      </c>
      <c r="T52">
        <v>2207230.1628878964</v>
      </c>
      <c r="U52">
        <v>2213422.9391848538</v>
      </c>
      <c r="V52">
        <v>2102877.0743979709</v>
      </c>
      <c r="W52">
        <v>2204334.4613279267</v>
      </c>
      <c r="X52">
        <v>2369640.1635377305</v>
      </c>
      <c r="Y52">
        <v>2370071.1513476209</v>
      </c>
      <c r="Z52">
        <v>2271906.6555566504</v>
      </c>
      <c r="AA52">
        <v>2236090.943699453</v>
      </c>
      <c r="AB52">
        <v>2373558.3006644906</v>
      </c>
      <c r="AC52">
        <v>2446652.9415313965</v>
      </c>
      <c r="AD52">
        <v>2435645.5891812118</v>
      </c>
      <c r="AE52">
        <v>2361271.732925083</v>
      </c>
      <c r="AF52">
        <v>2445537.3961692555</v>
      </c>
      <c r="AG52">
        <v>2408138.9788236232</v>
      </c>
      <c r="AH52">
        <v>2480892.5302189542</v>
      </c>
      <c r="AI52">
        <v>2501886.3298397516</v>
      </c>
      <c r="AJ52">
        <v>2523616.8245099988</v>
      </c>
      <c r="AK52">
        <v>2524614.9367554509</v>
      </c>
      <c r="AL52">
        <v>2511625.0756559586</v>
      </c>
      <c r="AM52">
        <v>2549329.3833441813</v>
      </c>
      <c r="AN52">
        <v>2519331.0740687763</v>
      </c>
      <c r="AO52">
        <v>2509877.0426252149</v>
      </c>
      <c r="AP52">
        <v>2503064.3846188602</v>
      </c>
      <c r="AQ52">
        <v>2529677.6251361859</v>
      </c>
      <c r="AR52">
        <v>2518004.1396108451</v>
      </c>
      <c r="AS52">
        <v>2502382.8231821074</v>
      </c>
      <c r="AT52">
        <v>2542801.8512473321</v>
      </c>
      <c r="AU52">
        <v>2529552.446978481</v>
      </c>
      <c r="AV52">
        <v>2513217.1157563641</v>
      </c>
      <c r="AW52">
        <v>2529422.8821732458</v>
      </c>
      <c r="AX52">
        <v>2492254.9514803966</v>
      </c>
      <c r="AY52">
        <v>2548932.405218964</v>
      </c>
      <c r="AZ52">
        <v>2511867.4208171829</v>
      </c>
      <c r="BA52">
        <v>2504638.9784956593</v>
      </c>
      <c r="BB52">
        <v>2510703.1886402979</v>
      </c>
    </row>
    <row r="53" spans="5:55" x14ac:dyDescent="0.2">
      <c r="E53">
        <v>2500</v>
      </c>
      <c r="F53">
        <v>1828735.1036490656</v>
      </c>
      <c r="G53">
        <v>1814828.7722250228</v>
      </c>
      <c r="H53">
        <v>1939336.4913677624</v>
      </c>
      <c r="I53">
        <v>1901277.7850730815</v>
      </c>
      <c r="J53">
        <v>1877209.0526926036</v>
      </c>
      <c r="K53">
        <v>2062173.6047905691</v>
      </c>
      <c r="L53">
        <v>1940623.8404588136</v>
      </c>
      <c r="M53">
        <v>2067825.1222925787</v>
      </c>
      <c r="N53">
        <v>2053321.3291652282</v>
      </c>
      <c r="O53">
        <v>2048960.8358762271</v>
      </c>
      <c r="P53">
        <v>2035423.4487448065</v>
      </c>
      <c r="Q53">
        <v>1976628.7346345652</v>
      </c>
      <c r="R53">
        <v>2202060.6301127775</v>
      </c>
      <c r="S53">
        <v>2101362.1934687551</v>
      </c>
      <c r="T53">
        <v>2201389.512884587</v>
      </c>
      <c r="U53">
        <v>2243847.6434963355</v>
      </c>
      <c r="V53">
        <v>2292562.9021227667</v>
      </c>
      <c r="W53">
        <v>2301780.5291853598</v>
      </c>
      <c r="X53">
        <v>2295196.6629400621</v>
      </c>
      <c r="Y53">
        <v>2428708.4515005946</v>
      </c>
      <c r="Z53">
        <v>2362473.1934494907</v>
      </c>
      <c r="AA53">
        <v>2374776.7276236131</v>
      </c>
      <c r="AB53">
        <v>2313496.913632914</v>
      </c>
      <c r="AC53">
        <v>2435935.1170520405</v>
      </c>
      <c r="AD53">
        <v>2449339.4785036528</v>
      </c>
      <c r="AE53">
        <v>2349191.9444391984</v>
      </c>
      <c r="AF53">
        <v>2480407.8922609212</v>
      </c>
      <c r="AG53">
        <v>2399813.0652109408</v>
      </c>
      <c r="AH53">
        <v>2405391.6789672268</v>
      </c>
      <c r="AI53">
        <v>2527309.0682881721</v>
      </c>
      <c r="AJ53">
        <v>2548165.7875202252</v>
      </c>
      <c r="AK53">
        <v>2510856.2961070607</v>
      </c>
      <c r="AL53">
        <v>2450191.3084069579</v>
      </c>
      <c r="AM53">
        <v>2501501.6411311124</v>
      </c>
      <c r="AN53">
        <v>2531007.1242795438</v>
      </c>
      <c r="AO53">
        <v>2522758.8744678232</v>
      </c>
      <c r="AP53">
        <v>2514717.604909644</v>
      </c>
      <c r="AQ53">
        <v>2518436.0295010265</v>
      </c>
      <c r="AR53">
        <v>2511849.0786667326</v>
      </c>
      <c r="AS53">
        <v>2542016.1269672485</v>
      </c>
      <c r="AT53">
        <v>2539242.4215222513</v>
      </c>
      <c r="AU53">
        <v>2547176.7324676053</v>
      </c>
      <c r="AV53">
        <v>2531968.6597300456</v>
      </c>
      <c r="AW53">
        <v>2500735.0970702115</v>
      </c>
      <c r="AX53">
        <v>2538316.8177973665</v>
      </c>
      <c r="AY53">
        <v>2501599.0670619146</v>
      </c>
      <c r="AZ53">
        <v>2526383.117235878</v>
      </c>
      <c r="BA53">
        <v>2484583.4931566776</v>
      </c>
      <c r="BB53">
        <v>2531268.2648824807</v>
      </c>
      <c r="BC53">
        <v>2525675.7807234991</v>
      </c>
    </row>
  </sheetData>
  <conditionalFormatting sqref="F4:CG83">
    <cfRule type="top10" dxfId="3" priority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e.Simulate" altText="Simulação_x000a_">
                <anchor moveWithCells="1" sizeWithCells="1">
                  <from>
                    <xdr:col>2</xdr:col>
                    <xdr:colOff>0</xdr:colOff>
                    <xdr:row>10</xdr:row>
                    <xdr:rowOff>101600</xdr:rowOff>
                  </from>
                  <to>
                    <xdr:col>3</xdr:col>
                    <xdr:colOff>685800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8F6F-CBE3-AE4D-93C8-D4B1AD1AB8B4}">
  <sheetPr codeName="Sheet1"/>
  <dimension ref="A2:BC53"/>
  <sheetViews>
    <sheetView topLeftCell="F4" zoomScale="57" workbookViewId="0">
      <selection activeCell="F4" sqref="F4:BC53"/>
    </sheetView>
  </sheetViews>
  <sheetFormatPr baseColWidth="10" defaultRowHeight="15" x14ac:dyDescent="0.2"/>
  <cols>
    <col min="2" max="2" width="11" bestFit="1" customWidth="1"/>
    <col min="4" max="4" width="11.33203125" bestFit="1" customWidth="1"/>
    <col min="5" max="55" width="5.6640625" customWidth="1"/>
  </cols>
  <sheetData>
    <row r="2" spans="1:55" x14ac:dyDescent="0.2">
      <c r="A2" t="s">
        <v>2</v>
      </c>
      <c r="B2" s="28">
        <v>2500</v>
      </c>
    </row>
    <row r="3" spans="1:55" x14ac:dyDescent="0.2">
      <c r="A3" t="s">
        <v>5</v>
      </c>
      <c r="B3">
        <v>2500</v>
      </c>
      <c r="D3" t="s">
        <v>53</v>
      </c>
      <c r="F3" s="20">
        <v>50</v>
      </c>
      <c r="G3" s="20">
        <v>100</v>
      </c>
      <c r="H3">
        <v>150</v>
      </c>
      <c r="I3">
        <v>200</v>
      </c>
      <c r="J3">
        <v>250</v>
      </c>
      <c r="K3">
        <v>300</v>
      </c>
      <c r="L3">
        <v>350</v>
      </c>
      <c r="M3">
        <v>400</v>
      </c>
      <c r="N3">
        <v>450</v>
      </c>
      <c r="O3">
        <v>500</v>
      </c>
      <c r="P3">
        <v>550</v>
      </c>
      <c r="Q3">
        <v>600</v>
      </c>
      <c r="R3">
        <v>650</v>
      </c>
      <c r="S3">
        <v>700</v>
      </c>
      <c r="T3">
        <v>750</v>
      </c>
      <c r="U3">
        <v>800</v>
      </c>
      <c r="V3">
        <v>850</v>
      </c>
      <c r="W3">
        <v>900</v>
      </c>
      <c r="X3">
        <v>950</v>
      </c>
      <c r="Y3">
        <v>1000</v>
      </c>
      <c r="Z3">
        <v>1050</v>
      </c>
      <c r="AA3">
        <v>1100</v>
      </c>
      <c r="AB3">
        <v>1150</v>
      </c>
      <c r="AC3">
        <v>1200</v>
      </c>
      <c r="AD3">
        <v>1250</v>
      </c>
      <c r="AE3">
        <v>1300</v>
      </c>
      <c r="AF3">
        <v>1350</v>
      </c>
      <c r="AG3">
        <v>1400</v>
      </c>
      <c r="AH3">
        <v>1450</v>
      </c>
      <c r="AI3">
        <v>1500</v>
      </c>
      <c r="AJ3">
        <v>1550</v>
      </c>
      <c r="AK3">
        <v>1600</v>
      </c>
      <c r="AL3">
        <v>1650</v>
      </c>
      <c r="AM3">
        <v>1700</v>
      </c>
      <c r="AN3">
        <v>1750</v>
      </c>
      <c r="AO3">
        <v>1800</v>
      </c>
      <c r="AP3">
        <v>1850</v>
      </c>
      <c r="AQ3">
        <v>1900</v>
      </c>
      <c r="AR3">
        <v>1950</v>
      </c>
      <c r="AS3">
        <v>2000</v>
      </c>
      <c r="AT3">
        <v>2050</v>
      </c>
      <c r="AU3">
        <v>2100</v>
      </c>
      <c r="AV3">
        <v>2150</v>
      </c>
      <c r="AW3">
        <v>2200</v>
      </c>
      <c r="AX3">
        <v>2250</v>
      </c>
      <c r="AY3">
        <v>2300</v>
      </c>
      <c r="AZ3">
        <v>2350</v>
      </c>
      <c r="BA3">
        <v>2400</v>
      </c>
      <c r="BB3">
        <v>2450</v>
      </c>
      <c r="BC3">
        <v>2500</v>
      </c>
    </row>
    <row r="4" spans="1:55" x14ac:dyDescent="0.2">
      <c r="D4" s="52">
        <f ca="1">'Modelo de Simulação'!R40</f>
        <v>1</v>
      </c>
      <c r="E4">
        <v>50</v>
      </c>
      <c r="F4" s="53">
        <v>5.7600843579371806E-2</v>
      </c>
      <c r="G4" s="53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</row>
    <row r="5" spans="1:55" x14ac:dyDescent="0.2">
      <c r="E5">
        <v>100</v>
      </c>
      <c r="F5" s="51">
        <v>0.11822558904042957</v>
      </c>
      <c r="G5" s="51">
        <v>0.11631366398727376</v>
      </c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</row>
    <row r="6" spans="1:55" x14ac:dyDescent="0.2">
      <c r="E6">
        <v>150</v>
      </c>
      <c r="F6" s="51">
        <v>0.17491583568469549</v>
      </c>
      <c r="G6" s="51">
        <v>0.17537882184941866</v>
      </c>
      <c r="H6" s="51">
        <v>0.17511631561643937</v>
      </c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</row>
    <row r="7" spans="1:55" x14ac:dyDescent="0.2">
      <c r="E7">
        <v>200</v>
      </c>
      <c r="F7" s="51">
        <v>0.22110866335686843</v>
      </c>
      <c r="G7" s="51">
        <v>0.22901148155974332</v>
      </c>
      <c r="H7" s="51">
        <v>0.22098098337939276</v>
      </c>
      <c r="I7" s="51">
        <v>0.2243308789808397</v>
      </c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</row>
    <row r="8" spans="1:55" x14ac:dyDescent="0.2">
      <c r="E8">
        <v>250</v>
      </c>
      <c r="F8" s="51">
        <v>0.28055227085730711</v>
      </c>
      <c r="G8" s="51">
        <v>0.27850953903894171</v>
      </c>
      <c r="H8" s="51">
        <v>0.28752550663945414</v>
      </c>
      <c r="I8" s="51">
        <v>0.27288914072282683</v>
      </c>
      <c r="J8" s="51">
        <v>0.2891558185934619</v>
      </c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</row>
    <row r="9" spans="1:55" x14ac:dyDescent="0.2">
      <c r="E9">
        <v>300</v>
      </c>
      <c r="F9" s="51">
        <v>0.33766976052079611</v>
      </c>
      <c r="G9" s="51">
        <v>0.33361815170577797</v>
      </c>
      <c r="H9" s="51">
        <v>0.34479331205554259</v>
      </c>
      <c r="I9" s="51">
        <v>0.34822223037382349</v>
      </c>
      <c r="J9" s="51">
        <v>0.35012934178503136</v>
      </c>
      <c r="K9" s="51">
        <v>0.34459179708916426</v>
      </c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</row>
    <row r="10" spans="1:55" x14ac:dyDescent="0.2">
      <c r="E10">
        <v>350</v>
      </c>
      <c r="F10" s="51">
        <v>0.39802998766909448</v>
      </c>
      <c r="G10" s="51">
        <v>0.39588889674834626</v>
      </c>
      <c r="H10" s="51">
        <v>0.4020015952319711</v>
      </c>
      <c r="I10" s="51">
        <v>0.38768434092361215</v>
      </c>
      <c r="J10" s="51">
        <v>0.40312679029619009</v>
      </c>
      <c r="K10" s="51">
        <v>0.40382678409567047</v>
      </c>
      <c r="L10" s="51">
        <v>0.40424821973511343</v>
      </c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</row>
    <row r="11" spans="1:55" x14ac:dyDescent="0.2">
      <c r="E11">
        <v>400</v>
      </c>
      <c r="F11" s="51">
        <v>0.39138899748504669</v>
      </c>
      <c r="G11" s="51">
        <v>0.42321762203187546</v>
      </c>
      <c r="H11" s="51">
        <v>0.44915205300455929</v>
      </c>
      <c r="I11" s="51">
        <v>0.44705972962634744</v>
      </c>
      <c r="J11" s="51">
        <v>0.4493105540872982</v>
      </c>
      <c r="K11" s="51">
        <v>0.43547857367031562</v>
      </c>
      <c r="L11" s="51">
        <v>0.44673279661917736</v>
      </c>
      <c r="M11" s="51">
        <v>0.43222518227763174</v>
      </c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</row>
    <row r="12" spans="1:55" x14ac:dyDescent="0.2">
      <c r="E12">
        <v>450</v>
      </c>
      <c r="F12" s="51">
        <v>0.42575900581732495</v>
      </c>
      <c r="G12" s="51">
        <v>0.42182210715839563</v>
      </c>
      <c r="H12" s="51">
        <v>0.43310151123995566</v>
      </c>
      <c r="I12" s="51">
        <v>0.48103553130818955</v>
      </c>
      <c r="J12" s="51">
        <v>0.45845956952750833</v>
      </c>
      <c r="K12" s="51">
        <v>0.49389442175314485</v>
      </c>
      <c r="L12" s="51">
        <v>0.47968418697974652</v>
      </c>
      <c r="M12" s="51">
        <v>0.47518283530593308</v>
      </c>
      <c r="N12" s="51">
        <v>0.48789847211969689</v>
      </c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</row>
    <row r="13" spans="1:55" x14ac:dyDescent="0.2">
      <c r="E13">
        <v>500</v>
      </c>
      <c r="F13" s="51">
        <v>0.46156546436628981</v>
      </c>
      <c r="G13" s="51">
        <v>0.45669234993026026</v>
      </c>
      <c r="H13" s="51">
        <v>0.48490755459537915</v>
      </c>
      <c r="I13" s="51">
        <v>0.48844548919134573</v>
      </c>
      <c r="J13" s="51">
        <v>0.48645828317849776</v>
      </c>
      <c r="K13" s="51">
        <v>0.52252086718956436</v>
      </c>
      <c r="L13" s="51">
        <v>0.51567091464482673</v>
      </c>
      <c r="M13" s="51">
        <v>0.50371418800663359</v>
      </c>
      <c r="N13" s="51">
        <v>0.51490406653920417</v>
      </c>
      <c r="O13" s="51">
        <v>0.52084128687676745</v>
      </c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</row>
    <row r="14" spans="1:55" x14ac:dyDescent="0.2">
      <c r="E14">
        <v>550</v>
      </c>
      <c r="F14" s="51">
        <v>0.45383843158657161</v>
      </c>
      <c r="G14" s="51">
        <v>0.44521202837779672</v>
      </c>
      <c r="H14" s="51">
        <v>0.4966764234983243</v>
      </c>
      <c r="I14" s="51">
        <v>0.52493514301961985</v>
      </c>
      <c r="J14" s="51">
        <v>0.54535483581764754</v>
      </c>
      <c r="K14" s="51">
        <v>0.5399872426876422</v>
      </c>
      <c r="L14" s="51">
        <v>0.53465559021644327</v>
      </c>
      <c r="M14" s="51">
        <v>0.53536979412776398</v>
      </c>
      <c r="N14" s="51">
        <v>0.57048518669275239</v>
      </c>
      <c r="O14" s="51">
        <v>0.54214181318348886</v>
      </c>
      <c r="P14" s="51">
        <v>0.55540313750146075</v>
      </c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</row>
    <row r="15" spans="1:55" x14ac:dyDescent="0.2">
      <c r="E15">
        <v>600</v>
      </c>
      <c r="F15" s="51">
        <v>0.50543155127497941</v>
      </c>
      <c r="G15" s="51">
        <v>0.45596433115739321</v>
      </c>
      <c r="H15" s="51">
        <v>0.49684072225653203</v>
      </c>
      <c r="I15" s="51">
        <v>0.48241029518599776</v>
      </c>
      <c r="J15" s="51">
        <v>0.53928992309531809</v>
      </c>
      <c r="K15" s="51">
        <v>0.56391920598389256</v>
      </c>
      <c r="L15" s="51">
        <v>0.5447426111989605</v>
      </c>
      <c r="M15" s="51">
        <v>0.56355487439803942</v>
      </c>
      <c r="N15" s="51">
        <v>0.56493605396964841</v>
      </c>
      <c r="O15" s="51">
        <v>0.58107877332827351</v>
      </c>
      <c r="P15" s="51">
        <v>0.59232529053699323</v>
      </c>
      <c r="Q15" s="51">
        <v>0.57795422754100378</v>
      </c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</row>
    <row r="16" spans="1:55" x14ac:dyDescent="0.2">
      <c r="E16">
        <v>650</v>
      </c>
      <c r="F16" s="51">
        <v>0.48573345808053914</v>
      </c>
      <c r="G16" s="51">
        <v>0.39298134530833018</v>
      </c>
      <c r="H16" s="51">
        <v>0.50968221532472247</v>
      </c>
      <c r="I16" s="51">
        <v>0.52472268323127413</v>
      </c>
      <c r="J16" s="51">
        <v>0.51888669224903883</v>
      </c>
      <c r="K16" s="51">
        <v>0.56395056551481626</v>
      </c>
      <c r="L16" s="51">
        <v>0.62905430814480234</v>
      </c>
      <c r="M16" s="51">
        <v>0.59528174693910896</v>
      </c>
      <c r="N16" s="51">
        <v>0.60317313491198399</v>
      </c>
      <c r="O16" s="51">
        <v>0.60623879628194066</v>
      </c>
      <c r="P16" s="51">
        <v>0.60350613629742589</v>
      </c>
      <c r="Q16" s="51">
        <v>0.60330029235735771</v>
      </c>
      <c r="R16" s="51">
        <v>0.61515129959229287</v>
      </c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</row>
    <row r="17" spans="5:55" x14ac:dyDescent="0.2">
      <c r="E17">
        <v>700</v>
      </c>
      <c r="F17" s="51">
        <v>0.55880787970317669</v>
      </c>
      <c r="G17" s="51">
        <v>0.44027574950055565</v>
      </c>
      <c r="H17" s="51">
        <v>0.44868045843353999</v>
      </c>
      <c r="I17" s="51">
        <v>0.51752969706752405</v>
      </c>
      <c r="J17" s="51">
        <v>0.58812022880115888</v>
      </c>
      <c r="K17" s="51">
        <v>0.56508957673165594</v>
      </c>
      <c r="L17" s="51">
        <v>0.64796122745627571</v>
      </c>
      <c r="M17" s="51">
        <v>0.6625505646490577</v>
      </c>
      <c r="N17" s="51">
        <v>0.6133084233153413</v>
      </c>
      <c r="O17" s="51">
        <v>0.60189040918099579</v>
      </c>
      <c r="P17" s="51">
        <v>0.65783534574060287</v>
      </c>
      <c r="Q17" s="51">
        <v>0.64741034419879562</v>
      </c>
      <c r="R17" s="51">
        <v>0.63551441330620395</v>
      </c>
      <c r="S17" s="51">
        <v>0.62080421324953972</v>
      </c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</row>
    <row r="18" spans="5:55" x14ac:dyDescent="0.2">
      <c r="E18">
        <v>750</v>
      </c>
      <c r="F18" s="51">
        <v>0.49417163413151566</v>
      </c>
      <c r="G18" s="51">
        <v>0.51004553905153605</v>
      </c>
      <c r="H18" s="51">
        <v>0.56635992762915932</v>
      </c>
      <c r="I18" s="51">
        <v>0.49777372040932927</v>
      </c>
      <c r="J18" s="51">
        <v>0.61825015043127474</v>
      </c>
      <c r="K18" s="51">
        <v>0.55194228811944346</v>
      </c>
      <c r="L18" s="51">
        <v>0.64948773377159674</v>
      </c>
      <c r="M18" s="51">
        <v>0.62580873491075462</v>
      </c>
      <c r="N18" s="51">
        <v>0.65047299989224283</v>
      </c>
      <c r="O18" s="51">
        <v>0.64762975931534805</v>
      </c>
      <c r="P18" s="51">
        <v>0.66866999000013871</v>
      </c>
      <c r="Q18" s="51">
        <v>0.67088157759907785</v>
      </c>
      <c r="R18" s="51">
        <v>0.65691389839163306</v>
      </c>
      <c r="S18" s="51">
        <v>0.64389908999164491</v>
      </c>
      <c r="T18" s="51">
        <v>0.69052108305422655</v>
      </c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</row>
    <row r="19" spans="5:55" x14ac:dyDescent="0.2">
      <c r="E19">
        <v>800</v>
      </c>
      <c r="F19" s="51">
        <v>0.54783068490934106</v>
      </c>
      <c r="G19" s="51">
        <v>0.54037789552382209</v>
      </c>
      <c r="H19" s="51">
        <v>0.60693657493983788</v>
      </c>
      <c r="I19" s="51">
        <v>0.57681308943541199</v>
      </c>
      <c r="J19" s="51">
        <v>0.57379951347462665</v>
      </c>
      <c r="K19" s="51">
        <v>0.63343706369874975</v>
      </c>
      <c r="L19" s="51">
        <v>0.65588235142747819</v>
      </c>
      <c r="M19" s="51">
        <v>0.65379704116665283</v>
      </c>
      <c r="N19" s="51">
        <v>0.6835067391849361</v>
      </c>
      <c r="O19" s="51">
        <v>0.63854324060365519</v>
      </c>
      <c r="P19" s="51">
        <v>0.68489796806693393</v>
      </c>
      <c r="Q19" s="51">
        <v>0.66384180728823661</v>
      </c>
      <c r="R19" s="51">
        <v>0.69006595708798479</v>
      </c>
      <c r="S19" s="51">
        <v>0.67024068102809553</v>
      </c>
      <c r="T19" s="51">
        <v>0.71142674504150727</v>
      </c>
      <c r="U19" s="51">
        <v>0.69211650674602099</v>
      </c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</row>
    <row r="20" spans="5:55" x14ac:dyDescent="0.2">
      <c r="E20">
        <v>850</v>
      </c>
      <c r="F20" s="51">
        <v>0.56796432783689887</v>
      </c>
      <c r="G20" s="51">
        <v>0.51678260426245881</v>
      </c>
      <c r="H20" s="51">
        <v>0.52269804010958554</v>
      </c>
      <c r="I20" s="51">
        <v>0.59122639940369259</v>
      </c>
      <c r="J20" s="51">
        <v>0.61406390954540835</v>
      </c>
      <c r="K20" s="51">
        <v>0.59776850777883683</v>
      </c>
      <c r="L20" s="51">
        <v>0.63318681121219422</v>
      </c>
      <c r="M20" s="51">
        <v>0.59713898026892442</v>
      </c>
      <c r="N20" s="51">
        <v>0.68105645670094406</v>
      </c>
      <c r="O20" s="51">
        <v>0.7012470910941595</v>
      </c>
      <c r="P20" s="51">
        <v>0.7042416586098601</v>
      </c>
      <c r="Q20" s="51">
        <v>0.69793373102603196</v>
      </c>
      <c r="R20" s="51">
        <v>0.71605712669758981</v>
      </c>
      <c r="S20" s="51">
        <v>0.70438328049261245</v>
      </c>
      <c r="T20" s="51">
        <v>0.69908930358601273</v>
      </c>
      <c r="U20" s="51">
        <v>0.71966196715640507</v>
      </c>
      <c r="V20" s="51">
        <v>0.7345689663953241</v>
      </c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</row>
    <row r="21" spans="5:55" x14ac:dyDescent="0.2">
      <c r="E21">
        <v>900</v>
      </c>
      <c r="F21" s="51">
        <v>0.50803942491671572</v>
      </c>
      <c r="G21" s="51">
        <v>0.57374525045366109</v>
      </c>
      <c r="H21" s="51">
        <v>0.57913623766508604</v>
      </c>
      <c r="I21" s="51">
        <v>0.61446635946984074</v>
      </c>
      <c r="J21" s="51">
        <v>0.65870703863062108</v>
      </c>
      <c r="K21" s="51">
        <v>0.65751433473346488</v>
      </c>
      <c r="L21" s="51">
        <v>0.56344005327863256</v>
      </c>
      <c r="M21" s="51">
        <v>0.66575984090577489</v>
      </c>
      <c r="N21" s="51">
        <v>0.67345101937582608</v>
      </c>
      <c r="O21" s="51">
        <v>0.72003085671372691</v>
      </c>
      <c r="P21" s="51">
        <v>0.71548580170413245</v>
      </c>
      <c r="Q21" s="51">
        <v>0.68553684063823195</v>
      </c>
      <c r="R21" s="51">
        <v>0.72386098286736178</v>
      </c>
      <c r="S21" s="51">
        <v>0.73810062098836626</v>
      </c>
      <c r="T21" s="51">
        <v>0.74146912213701166</v>
      </c>
      <c r="U21" s="51">
        <v>0.72755679086768377</v>
      </c>
      <c r="V21" s="51">
        <v>0.76449517199313821</v>
      </c>
      <c r="W21" s="51">
        <v>0.73672299659712215</v>
      </c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</row>
    <row r="22" spans="5:55" x14ac:dyDescent="0.2">
      <c r="E22">
        <v>950</v>
      </c>
      <c r="F22" s="51">
        <v>0.55742770818698761</v>
      </c>
      <c r="G22" s="51">
        <v>0.56549071527862393</v>
      </c>
      <c r="H22" s="51">
        <v>0.61451048750476267</v>
      </c>
      <c r="I22" s="51">
        <v>0.57026528978778035</v>
      </c>
      <c r="J22" s="51">
        <v>0.58357493194455379</v>
      </c>
      <c r="K22" s="51">
        <v>0.59842098220552487</v>
      </c>
      <c r="L22" s="51">
        <v>0.65903413529394284</v>
      </c>
      <c r="M22" s="51">
        <v>0.68011857262358566</v>
      </c>
      <c r="N22" s="51">
        <v>0.65554007879129916</v>
      </c>
      <c r="O22" s="51">
        <v>0.75678421917417893</v>
      </c>
      <c r="P22" s="51">
        <v>0.69570221149196354</v>
      </c>
      <c r="Q22" s="51">
        <v>0.74366520592757657</v>
      </c>
      <c r="R22" s="51">
        <v>0.74533379008116452</v>
      </c>
      <c r="S22" s="51">
        <v>0.73964100848169778</v>
      </c>
      <c r="T22" s="51">
        <v>0.75560433600997656</v>
      </c>
      <c r="U22" s="51">
        <v>0.75871313366702731</v>
      </c>
      <c r="V22" s="51">
        <v>0.75457327232420124</v>
      </c>
      <c r="W22" s="51">
        <v>0.73369102116578899</v>
      </c>
      <c r="X22" s="51">
        <v>0.79235578748164026</v>
      </c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</row>
    <row r="23" spans="5:55" x14ac:dyDescent="0.2">
      <c r="E23">
        <v>1000</v>
      </c>
      <c r="F23" s="51">
        <v>0.57230302911555608</v>
      </c>
      <c r="G23" s="51">
        <v>0.62910737974627717</v>
      </c>
      <c r="H23" s="51">
        <v>0.61207602534727568</v>
      </c>
      <c r="I23" s="51">
        <v>0.6938697002482167</v>
      </c>
      <c r="J23" s="51">
        <v>0.61794874177616532</v>
      </c>
      <c r="K23" s="51">
        <v>0.69817343059153025</v>
      </c>
      <c r="L23" s="51">
        <v>0.65288649780035246</v>
      </c>
      <c r="M23" s="51">
        <v>0.69749061455506212</v>
      </c>
      <c r="N23" s="51">
        <v>0.67960895546883848</v>
      </c>
      <c r="O23" s="51">
        <v>0.73299113426790941</v>
      </c>
      <c r="P23" s="51">
        <v>0.66045870848905608</v>
      </c>
      <c r="Q23" s="51">
        <v>0.7055535658035379</v>
      </c>
      <c r="R23" s="51">
        <v>0.74422517287754697</v>
      </c>
      <c r="S23" s="51">
        <v>0.73866892591533606</v>
      </c>
      <c r="T23" s="51">
        <v>0.80879370468302314</v>
      </c>
      <c r="U23" s="51">
        <v>0.766067984192906</v>
      </c>
      <c r="V23" s="51">
        <v>0.77838526981514877</v>
      </c>
      <c r="W23" s="51">
        <v>0.80760153003469271</v>
      </c>
      <c r="X23" s="51">
        <v>0.7700027188381422</v>
      </c>
      <c r="Y23" s="51">
        <v>0.81053288402908397</v>
      </c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</row>
    <row r="24" spans="5:55" x14ac:dyDescent="0.2">
      <c r="E24">
        <v>1050</v>
      </c>
      <c r="F24" s="51">
        <v>0.61784371513966552</v>
      </c>
      <c r="G24" s="51">
        <v>0.63217313666109876</v>
      </c>
      <c r="H24" s="51">
        <v>0.67253298899898817</v>
      </c>
      <c r="I24" s="51">
        <v>0.63549702271877384</v>
      </c>
      <c r="J24" s="51">
        <v>0.60936953088061863</v>
      </c>
      <c r="K24" s="51">
        <v>0.62043593888659765</v>
      </c>
      <c r="L24" s="51">
        <v>0.61149623478863491</v>
      </c>
      <c r="M24" s="51">
        <v>0.63689965148192684</v>
      </c>
      <c r="N24" s="51">
        <v>0.65624254202939758</v>
      </c>
      <c r="O24" s="51">
        <v>0.70260332325879993</v>
      </c>
      <c r="P24" s="51">
        <v>0.71549443961996617</v>
      </c>
      <c r="Q24" s="51">
        <v>0.74253280465909988</v>
      </c>
      <c r="R24" s="51">
        <v>0.72552146322984379</v>
      </c>
      <c r="S24" s="51">
        <v>0.78981620837859112</v>
      </c>
      <c r="T24" s="51">
        <v>0.84233899299278403</v>
      </c>
      <c r="U24" s="51">
        <v>0.77494995683174328</v>
      </c>
      <c r="V24" s="51">
        <v>0.80269129997386479</v>
      </c>
      <c r="W24" s="51">
        <v>0.79060542459842553</v>
      </c>
      <c r="X24" s="51">
        <v>0.74425987591894471</v>
      </c>
      <c r="Y24" s="51">
        <v>0.78491344810001729</v>
      </c>
      <c r="Z24" s="51">
        <v>0.80474385804612247</v>
      </c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</row>
    <row r="25" spans="5:55" x14ac:dyDescent="0.2">
      <c r="E25">
        <v>1100</v>
      </c>
      <c r="F25" s="51">
        <v>0.65228020621910543</v>
      </c>
      <c r="G25" s="51">
        <v>0.60535217634738558</v>
      </c>
      <c r="H25" s="51">
        <v>0.66890830656710931</v>
      </c>
      <c r="I25" s="51">
        <v>0.64044482300323702</v>
      </c>
      <c r="J25" s="51">
        <v>0.65129850266770584</v>
      </c>
      <c r="K25" s="51">
        <v>0.6571845592785478</v>
      </c>
      <c r="L25" s="51">
        <v>0.72242209978466221</v>
      </c>
      <c r="M25" s="51">
        <v>0.74391915880738257</v>
      </c>
      <c r="N25" s="51">
        <v>0.67989747404729084</v>
      </c>
      <c r="O25" s="51">
        <v>0.78567168117520758</v>
      </c>
      <c r="P25" s="51">
        <v>0.75322869145112248</v>
      </c>
      <c r="Q25" s="51">
        <v>0.79608472463324553</v>
      </c>
      <c r="R25" s="51">
        <v>0.81965048034990118</v>
      </c>
      <c r="S25" s="51">
        <v>0.80079467580936958</v>
      </c>
      <c r="T25" s="51">
        <v>0.83674404275738201</v>
      </c>
      <c r="U25" s="51">
        <v>0.80097613711425009</v>
      </c>
      <c r="V25" s="51">
        <v>0.77333614270097839</v>
      </c>
      <c r="W25" s="51">
        <v>0.83017951469506945</v>
      </c>
      <c r="X25" s="51">
        <v>0.82756613930071787</v>
      </c>
      <c r="Y25" s="51">
        <v>0.84650784286393344</v>
      </c>
      <c r="Z25" s="51">
        <v>0.81682678650660734</v>
      </c>
      <c r="AA25" s="51">
        <v>0.8258945133783393</v>
      </c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</row>
    <row r="26" spans="5:55" x14ac:dyDescent="0.2">
      <c r="E26">
        <v>1150</v>
      </c>
      <c r="F26" s="51">
        <v>0.63068310224116497</v>
      </c>
      <c r="G26" s="51">
        <v>0.6521095564513395</v>
      </c>
      <c r="H26" s="51">
        <v>0.68265653941831361</v>
      </c>
      <c r="I26" s="51">
        <v>0.66752078092969258</v>
      </c>
      <c r="J26" s="51">
        <v>0.67605654495769807</v>
      </c>
      <c r="K26" s="51">
        <v>0.66997850220226485</v>
      </c>
      <c r="L26" s="51">
        <v>0.69465485672029004</v>
      </c>
      <c r="M26" s="51">
        <v>0.67928258188484647</v>
      </c>
      <c r="N26" s="51">
        <v>0.70367136582860113</v>
      </c>
      <c r="O26" s="51">
        <v>0.71214970011429324</v>
      </c>
      <c r="P26" s="51">
        <v>0.68926049748189455</v>
      </c>
      <c r="Q26" s="51">
        <v>0.84654031969555255</v>
      </c>
      <c r="R26" s="51">
        <v>0.81496191961083508</v>
      </c>
      <c r="S26" s="51">
        <v>0.7821160809622536</v>
      </c>
      <c r="T26" s="51">
        <v>0.79235080763598886</v>
      </c>
      <c r="U26" s="51">
        <v>0.8082541389391602</v>
      </c>
      <c r="V26" s="51">
        <v>0.83663679927101009</v>
      </c>
      <c r="W26" s="51">
        <v>0.83789926243287771</v>
      </c>
      <c r="X26" s="51">
        <v>0.83900734727166704</v>
      </c>
      <c r="Y26" s="51">
        <v>0.84491319603918003</v>
      </c>
      <c r="Z26" s="51">
        <v>0.83082316320309524</v>
      </c>
      <c r="AA26" s="51">
        <v>0.82168852385257973</v>
      </c>
      <c r="AB26" s="51">
        <v>0.86240242008281043</v>
      </c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</row>
    <row r="27" spans="5:55" x14ac:dyDescent="0.2">
      <c r="E27">
        <v>1200</v>
      </c>
      <c r="F27" s="51">
        <v>0.60595825737713604</v>
      </c>
      <c r="G27" s="51">
        <v>0.60875497674237511</v>
      </c>
      <c r="H27" s="51">
        <v>0.69501403991335897</v>
      </c>
      <c r="I27" s="51">
        <v>0.6776369108436191</v>
      </c>
      <c r="J27" s="51">
        <v>0.63514276919585211</v>
      </c>
      <c r="K27" s="51">
        <v>0.69935447605383927</v>
      </c>
      <c r="L27" s="51">
        <v>0.70232283692100805</v>
      </c>
      <c r="M27" s="51">
        <v>0.7118998585139038</v>
      </c>
      <c r="N27" s="51">
        <v>0.729734845401945</v>
      </c>
      <c r="O27" s="51">
        <v>0.77394640443798601</v>
      </c>
      <c r="P27" s="51">
        <v>0.76384210932420571</v>
      </c>
      <c r="Q27" s="51">
        <v>0.75047614137485896</v>
      </c>
      <c r="R27" s="51">
        <v>0.81672928149828716</v>
      </c>
      <c r="S27" s="51">
        <v>0.82291477950880898</v>
      </c>
      <c r="T27" s="51">
        <v>0.88593894179271593</v>
      </c>
      <c r="U27" s="51">
        <v>0.89798561293158352</v>
      </c>
      <c r="V27" s="51">
        <v>0.79639030229379526</v>
      </c>
      <c r="W27" s="51">
        <v>0.86001915255021499</v>
      </c>
      <c r="X27" s="51">
        <v>0.85042069482176041</v>
      </c>
      <c r="Y27" s="51">
        <v>0.83198819554331493</v>
      </c>
      <c r="Z27" s="51">
        <v>0.86851715919238615</v>
      </c>
      <c r="AA27" s="51">
        <v>0.84861793355580017</v>
      </c>
      <c r="AB27" s="51">
        <v>0.85576952183024158</v>
      </c>
      <c r="AC27" s="51">
        <v>0.86919588364724487</v>
      </c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</row>
    <row r="28" spans="5:55" x14ac:dyDescent="0.2">
      <c r="E28">
        <v>1250</v>
      </c>
      <c r="F28" s="51">
        <v>0.64295090582503456</v>
      </c>
      <c r="G28" s="51">
        <v>0.6308121742433902</v>
      </c>
      <c r="H28" s="51">
        <v>0.69246878046426885</v>
      </c>
      <c r="I28" s="51">
        <v>0.63433304518687261</v>
      </c>
      <c r="J28" s="51">
        <v>0.6693222314772177</v>
      </c>
      <c r="K28" s="51">
        <v>0.698918140764346</v>
      </c>
      <c r="L28" s="51">
        <v>0.77996459317102795</v>
      </c>
      <c r="M28" s="51">
        <v>0.70800882339321436</v>
      </c>
      <c r="N28" s="51">
        <v>0.71422068773208092</v>
      </c>
      <c r="O28" s="51">
        <v>0.76984679731658967</v>
      </c>
      <c r="P28" s="51">
        <v>0.80893415560131876</v>
      </c>
      <c r="Q28" s="51">
        <v>0.73512851541067148</v>
      </c>
      <c r="R28" s="51">
        <v>0.73301080557835097</v>
      </c>
      <c r="S28" s="51">
        <v>0.83684459639725717</v>
      </c>
      <c r="T28" s="51">
        <v>0.81577013447443636</v>
      </c>
      <c r="U28" s="51">
        <v>0.90001988178343484</v>
      </c>
      <c r="V28" s="51">
        <v>0.84092226981072626</v>
      </c>
      <c r="W28" s="51">
        <v>0.8698674895138917</v>
      </c>
      <c r="X28" s="51">
        <v>0.86449610771417362</v>
      </c>
      <c r="Y28" s="51">
        <v>0.88198738155409162</v>
      </c>
      <c r="Z28" s="51">
        <v>0.88906951454864624</v>
      </c>
      <c r="AA28" s="51">
        <v>0.87006901564317107</v>
      </c>
      <c r="AB28" s="51">
        <v>0.85236938487358838</v>
      </c>
      <c r="AC28" s="51">
        <v>0.85476827356753016</v>
      </c>
      <c r="AD28" s="51">
        <v>0.87708869044285176</v>
      </c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</row>
    <row r="29" spans="5:55" x14ac:dyDescent="0.2">
      <c r="E29">
        <v>1300</v>
      </c>
      <c r="F29" s="51">
        <v>0.65281031415994628</v>
      </c>
      <c r="G29" s="51">
        <v>0.63887538328052118</v>
      </c>
      <c r="H29" s="51">
        <v>0.68791629670969345</v>
      </c>
      <c r="I29" s="51">
        <v>0.66321143482290201</v>
      </c>
      <c r="J29" s="51">
        <v>0.6249772127757679</v>
      </c>
      <c r="K29" s="51">
        <v>0.70853919705637081</v>
      </c>
      <c r="L29" s="51">
        <v>0.68758158844802386</v>
      </c>
      <c r="M29" s="51">
        <v>0.72413747176026577</v>
      </c>
      <c r="N29" s="51">
        <v>0.69308199542155147</v>
      </c>
      <c r="O29" s="51">
        <v>0.68302273890828702</v>
      </c>
      <c r="P29" s="51">
        <v>0.80704225883459779</v>
      </c>
      <c r="Q29" s="51">
        <v>0.7213561410386371</v>
      </c>
      <c r="R29" s="51">
        <v>0.83394470863363523</v>
      </c>
      <c r="S29" s="51">
        <v>0.78306578837113472</v>
      </c>
      <c r="T29" s="51">
        <v>0.81311737640337156</v>
      </c>
      <c r="U29" s="51">
        <v>0.89094203693109519</v>
      </c>
      <c r="V29" s="51">
        <v>0.88184960822739755</v>
      </c>
      <c r="W29" s="51">
        <v>0.8926012861890571</v>
      </c>
      <c r="X29" s="51">
        <v>0.88762008885455068</v>
      </c>
      <c r="Y29" s="51">
        <v>0.87923167624247589</v>
      </c>
      <c r="Z29" s="51">
        <v>0.90038638633068457</v>
      </c>
      <c r="AA29" s="51">
        <v>0.89449268265598891</v>
      </c>
      <c r="AB29" s="51">
        <v>0.89093612493658303</v>
      </c>
      <c r="AC29" s="51">
        <v>0.89046655120932638</v>
      </c>
      <c r="AD29" s="51">
        <v>0.90864673471572877</v>
      </c>
      <c r="AE29" s="51">
        <v>0.90173159101392886</v>
      </c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</row>
    <row r="30" spans="5:55" x14ac:dyDescent="0.2">
      <c r="E30">
        <v>1350</v>
      </c>
      <c r="F30" s="51">
        <v>0.63868651791998221</v>
      </c>
      <c r="G30" s="51">
        <v>0.64059721939915004</v>
      </c>
      <c r="H30" s="51">
        <v>0.70999694415725212</v>
      </c>
      <c r="I30" s="51">
        <v>0.68221444831284184</v>
      </c>
      <c r="J30" s="51">
        <v>0.67774116689701391</v>
      </c>
      <c r="K30" s="51">
        <v>0.67792696831324517</v>
      </c>
      <c r="L30" s="51">
        <v>0.74493246618759568</v>
      </c>
      <c r="M30" s="51">
        <v>0.71388016712707703</v>
      </c>
      <c r="N30" s="51">
        <v>0.73796677320003901</v>
      </c>
      <c r="O30" s="51">
        <v>0.74814888780675981</v>
      </c>
      <c r="P30" s="51">
        <v>0.72675396272609283</v>
      </c>
      <c r="Q30" s="51">
        <v>0.71471406810019711</v>
      </c>
      <c r="R30" s="51">
        <v>0.88836885800506549</v>
      </c>
      <c r="S30" s="51">
        <v>0.84440376992290145</v>
      </c>
      <c r="T30" s="51">
        <v>0.89138187521714329</v>
      </c>
      <c r="U30" s="51">
        <v>0.89036908338319054</v>
      </c>
      <c r="V30" s="51">
        <v>0.86687249585324166</v>
      </c>
      <c r="W30" s="51">
        <v>0.88343195955235843</v>
      </c>
      <c r="X30" s="51">
        <v>0.88376053217934813</v>
      </c>
      <c r="Y30" s="51">
        <v>0.91842256156876023</v>
      </c>
      <c r="Z30" s="51">
        <v>0.85149227603305555</v>
      </c>
      <c r="AA30" s="51">
        <v>0.9198973771642811</v>
      </c>
      <c r="AB30" s="51">
        <v>0.89655693396778768</v>
      </c>
      <c r="AC30" s="51">
        <v>0.90622980358222327</v>
      </c>
      <c r="AD30" s="51">
        <v>0.90156912164129366</v>
      </c>
      <c r="AE30" s="51">
        <v>0.89730668307744499</v>
      </c>
      <c r="AF30" s="51">
        <v>0.88723559537305352</v>
      </c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</row>
    <row r="31" spans="5:55" x14ac:dyDescent="0.2">
      <c r="E31">
        <v>1400</v>
      </c>
      <c r="F31" s="51">
        <v>0.68873725699520028</v>
      </c>
      <c r="G31" s="51">
        <v>0.67134220894131114</v>
      </c>
      <c r="H31" s="51">
        <v>0.66465250950776922</v>
      </c>
      <c r="I31" s="51">
        <v>0.70146445535892177</v>
      </c>
      <c r="J31" s="51">
        <v>0.73474333190892605</v>
      </c>
      <c r="K31" s="51">
        <v>0.71125780092093061</v>
      </c>
      <c r="L31" s="51">
        <v>0.6940139479249503</v>
      </c>
      <c r="M31" s="51">
        <v>0.77120364838453315</v>
      </c>
      <c r="N31" s="51">
        <v>0.72663516348914292</v>
      </c>
      <c r="O31" s="51">
        <v>0.77981927402763751</v>
      </c>
      <c r="P31" s="51">
        <v>0.79524693975596705</v>
      </c>
      <c r="Q31" s="51">
        <v>0.81983977629390603</v>
      </c>
      <c r="R31" s="51">
        <v>0.83279441118224629</v>
      </c>
      <c r="S31" s="51">
        <v>0.81984782829726277</v>
      </c>
      <c r="T31" s="51">
        <v>0.8708701696681872</v>
      </c>
      <c r="U31" s="51">
        <v>0.77902055074303356</v>
      </c>
      <c r="V31" s="51">
        <v>0.83465637357497691</v>
      </c>
      <c r="W31" s="51">
        <v>0.91521414264474421</v>
      </c>
      <c r="X31" s="51">
        <v>0.92939040569154385</v>
      </c>
      <c r="Y31" s="51">
        <v>0.89106289380695913</v>
      </c>
      <c r="Z31" s="51">
        <v>0.90529257089454973</v>
      </c>
      <c r="AA31" s="51">
        <v>0.89509212478757738</v>
      </c>
      <c r="AB31" s="51">
        <v>0.88707754940600603</v>
      </c>
      <c r="AC31" s="51">
        <v>0.91984721413528314</v>
      </c>
      <c r="AD31" s="51">
        <v>0.91592309216668422</v>
      </c>
      <c r="AE31" s="51">
        <v>0.88453389050913733</v>
      </c>
      <c r="AF31" s="51">
        <v>0.92333207615978596</v>
      </c>
      <c r="AG31" s="51">
        <v>0.90724077297495453</v>
      </c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</row>
    <row r="32" spans="5:55" x14ac:dyDescent="0.2">
      <c r="E32">
        <v>1450</v>
      </c>
      <c r="F32" s="51">
        <v>0.65314935326272228</v>
      </c>
      <c r="G32" s="51">
        <v>0.63538421549453972</v>
      </c>
      <c r="H32" s="51">
        <v>0.6554517632935779</v>
      </c>
      <c r="I32" s="51">
        <v>0.74576114801527604</v>
      </c>
      <c r="J32" s="51">
        <v>0.75933663461101319</v>
      </c>
      <c r="K32" s="51">
        <v>0.76419314445200492</v>
      </c>
      <c r="L32" s="51">
        <v>0.75268178143061881</v>
      </c>
      <c r="M32" s="51">
        <v>0.77197231050696802</v>
      </c>
      <c r="N32" s="51">
        <v>0.79171442672137959</v>
      </c>
      <c r="O32" s="51">
        <v>0.7851779706034836</v>
      </c>
      <c r="P32" s="51">
        <v>0.80061538241338126</v>
      </c>
      <c r="Q32" s="51">
        <v>0.80076418318671483</v>
      </c>
      <c r="R32" s="51">
        <v>0.85941626813777128</v>
      </c>
      <c r="S32" s="51">
        <v>0.84246952798338903</v>
      </c>
      <c r="T32" s="51">
        <v>0.90722978152427958</v>
      </c>
      <c r="U32" s="51">
        <v>0.85478253869266951</v>
      </c>
      <c r="V32" s="51">
        <v>0.87984440377831796</v>
      </c>
      <c r="W32" s="51">
        <v>0.89789569253830237</v>
      </c>
      <c r="X32" s="51">
        <v>0.89250153188010473</v>
      </c>
      <c r="Y32" s="51">
        <v>0.93409091076319106</v>
      </c>
      <c r="Z32" s="51">
        <v>0.88205573175288132</v>
      </c>
      <c r="AA32" s="51">
        <v>0.86473884245838195</v>
      </c>
      <c r="AB32" s="51">
        <v>0.93763159708671973</v>
      </c>
      <c r="AC32" s="51">
        <v>0.92648402482292413</v>
      </c>
      <c r="AD32" s="51">
        <v>0.93099634890645522</v>
      </c>
      <c r="AE32" s="51">
        <v>0.91713130054063274</v>
      </c>
      <c r="AF32" s="51">
        <v>0.89996404182104961</v>
      </c>
      <c r="AG32" s="51">
        <v>0.89514188891336099</v>
      </c>
      <c r="AH32" s="51">
        <v>0.90399495543090325</v>
      </c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</row>
    <row r="33" spans="5:55" x14ac:dyDescent="0.2">
      <c r="E33">
        <v>1500</v>
      </c>
      <c r="F33" s="51">
        <v>0.66762881703001753</v>
      </c>
      <c r="G33" s="51">
        <v>0.63250661850765266</v>
      </c>
      <c r="H33" s="51">
        <v>0.70135380891697408</v>
      </c>
      <c r="I33" s="51">
        <v>0.7299462760714801</v>
      </c>
      <c r="J33" s="51">
        <v>0.70040795643931208</v>
      </c>
      <c r="K33" s="51">
        <v>0.72495401107923718</v>
      </c>
      <c r="L33" s="51">
        <v>0.7852912549339035</v>
      </c>
      <c r="M33" s="51">
        <v>0.78737736223393207</v>
      </c>
      <c r="N33" s="51">
        <v>0.81025808194212767</v>
      </c>
      <c r="O33" s="51">
        <v>0.79579895975743753</v>
      </c>
      <c r="P33" s="51">
        <v>0.77798895870766471</v>
      </c>
      <c r="Q33" s="51">
        <v>0.81309192839313171</v>
      </c>
      <c r="R33" s="51">
        <v>0.87138200136717714</v>
      </c>
      <c r="S33" s="51">
        <v>0.79776138652089013</v>
      </c>
      <c r="T33" s="51">
        <v>0.82989653336912117</v>
      </c>
      <c r="U33" s="51">
        <v>0.80269709504711417</v>
      </c>
      <c r="V33" s="51">
        <v>0.91348697721385441</v>
      </c>
      <c r="W33" s="51">
        <v>0.92365342258225736</v>
      </c>
      <c r="X33" s="51">
        <v>0.93098170210776376</v>
      </c>
      <c r="Y33" s="51">
        <v>0.96612197015078216</v>
      </c>
      <c r="Z33" s="51">
        <v>0.9257000714428395</v>
      </c>
      <c r="AA33" s="51">
        <v>0.93732934168954618</v>
      </c>
      <c r="AB33" s="51">
        <v>0.94364157838594798</v>
      </c>
      <c r="AC33" s="51">
        <v>0.92434746447876326</v>
      </c>
      <c r="AD33" s="51">
        <v>0.95189410547903641</v>
      </c>
      <c r="AE33" s="51">
        <v>0.9235351818389943</v>
      </c>
      <c r="AF33" s="51">
        <v>0.92286632743910346</v>
      </c>
      <c r="AG33" s="51">
        <v>0.92191081015784426</v>
      </c>
      <c r="AH33" s="51">
        <v>0.91352913766558141</v>
      </c>
      <c r="AI33" s="51">
        <v>0.94052079532007327</v>
      </c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</row>
    <row r="34" spans="5:55" x14ac:dyDescent="0.2">
      <c r="E34">
        <v>1550</v>
      </c>
      <c r="F34" s="51">
        <v>0.66163884808209084</v>
      </c>
      <c r="G34" s="51">
        <v>0.67125420668937275</v>
      </c>
      <c r="H34" s="51">
        <v>0.66397106830492592</v>
      </c>
      <c r="I34" s="51">
        <v>0.67950916624915569</v>
      </c>
      <c r="J34" s="51">
        <v>0.68708497083238917</v>
      </c>
      <c r="K34" s="51">
        <v>0.78162771508108264</v>
      </c>
      <c r="L34" s="51">
        <v>0.74770468248256938</v>
      </c>
      <c r="M34" s="51">
        <v>0.77292142900482841</v>
      </c>
      <c r="N34" s="51">
        <v>0.71400237495568364</v>
      </c>
      <c r="O34" s="51">
        <v>0.77462196337722566</v>
      </c>
      <c r="P34" s="51">
        <v>0.81617958433304616</v>
      </c>
      <c r="Q34" s="51">
        <v>0.82204395506778405</v>
      </c>
      <c r="R34" s="51">
        <v>0.79692749461684009</v>
      </c>
      <c r="S34" s="51">
        <v>0.79912437454800456</v>
      </c>
      <c r="T34" s="51">
        <v>0.89777699714569481</v>
      </c>
      <c r="U34" s="51">
        <v>0.86487084689511073</v>
      </c>
      <c r="V34" s="51">
        <v>0.874875101436696</v>
      </c>
      <c r="W34" s="51">
        <v>0.80651893278909659</v>
      </c>
      <c r="X34" s="51">
        <v>0.8664541456522844</v>
      </c>
      <c r="Y34" s="51">
        <v>0.92895037548390313</v>
      </c>
      <c r="Z34" s="51">
        <v>0.95791626789747131</v>
      </c>
      <c r="AA34" s="51">
        <v>0.93298335600631987</v>
      </c>
      <c r="AB34" s="51">
        <v>0.94813587683545208</v>
      </c>
      <c r="AC34" s="51">
        <v>0.95904876910366998</v>
      </c>
      <c r="AD34" s="51">
        <v>0.95655972633076358</v>
      </c>
      <c r="AE34" s="51">
        <v>0.9558747790868023</v>
      </c>
      <c r="AF34" s="51">
        <v>0.94436983067032476</v>
      </c>
      <c r="AG34" s="51">
        <v>0.94442881580344118</v>
      </c>
      <c r="AH34" s="51">
        <v>0.9689530032856023</v>
      </c>
      <c r="AI34" s="51">
        <v>0.92141016210079352</v>
      </c>
      <c r="AJ34" s="51">
        <v>0.94686837022990833</v>
      </c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</row>
    <row r="35" spans="5:55" x14ac:dyDescent="0.2">
      <c r="E35">
        <v>1600</v>
      </c>
      <c r="F35" s="51">
        <v>0.68350956034661059</v>
      </c>
      <c r="G35" s="51">
        <v>0.67186697225652414</v>
      </c>
      <c r="H35" s="51">
        <v>0.67300102321962607</v>
      </c>
      <c r="I35" s="51">
        <v>0.69991819900475361</v>
      </c>
      <c r="J35" s="51">
        <v>0.72676621890850313</v>
      </c>
      <c r="K35" s="51">
        <v>0.7187324603833164</v>
      </c>
      <c r="L35" s="51">
        <v>0.74561741607938614</v>
      </c>
      <c r="M35" s="51">
        <v>0.72113544101415994</v>
      </c>
      <c r="N35" s="51">
        <v>0.76434947493177474</v>
      </c>
      <c r="O35" s="51">
        <v>0.82001648840567909</v>
      </c>
      <c r="P35" s="51">
        <v>0.76619575696587905</v>
      </c>
      <c r="Q35" s="51">
        <v>0.80508802264578649</v>
      </c>
      <c r="R35" s="51">
        <v>0.80394212910234164</v>
      </c>
      <c r="S35" s="51">
        <v>0.8300388515914916</v>
      </c>
      <c r="T35" s="51">
        <v>0.8282549763616307</v>
      </c>
      <c r="U35" s="51">
        <v>0.87345834106004305</v>
      </c>
      <c r="V35" s="51">
        <v>0.82658646273114655</v>
      </c>
      <c r="W35" s="51">
        <v>0.89149675063888978</v>
      </c>
      <c r="X35" s="51">
        <v>0.90564194344420845</v>
      </c>
      <c r="Y35" s="51">
        <v>0.92594453479300731</v>
      </c>
      <c r="Z35" s="51">
        <v>0.89710291017178667</v>
      </c>
      <c r="AA35" s="51">
        <v>0.92269753061759741</v>
      </c>
      <c r="AB35" s="51">
        <v>0.91860880561360236</v>
      </c>
      <c r="AC35" s="51">
        <v>0.92695583329317577</v>
      </c>
      <c r="AD35" s="51">
        <v>0.92352802558888514</v>
      </c>
      <c r="AE35" s="51">
        <v>0.94319570656586094</v>
      </c>
      <c r="AF35" s="51">
        <v>0.9453613798570536</v>
      </c>
      <c r="AG35" s="51">
        <v>0.95599764330578629</v>
      </c>
      <c r="AH35" s="51">
        <v>0.95945000667515767</v>
      </c>
      <c r="AI35" s="51">
        <v>0.95047419136041822</v>
      </c>
      <c r="AJ35" s="51">
        <v>0.94119565128608906</v>
      </c>
      <c r="AK35" s="51">
        <v>0.97530288831408019</v>
      </c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</row>
    <row r="36" spans="5:55" x14ac:dyDescent="0.2">
      <c r="E36">
        <v>1650</v>
      </c>
      <c r="F36" s="51">
        <v>0.70351183103705772</v>
      </c>
      <c r="G36" s="51">
        <v>0.716492795457635</v>
      </c>
      <c r="H36" s="51">
        <v>0.70211665156052772</v>
      </c>
      <c r="I36" s="51">
        <v>0.70057746970231272</v>
      </c>
      <c r="J36" s="51">
        <v>0.77673587554464318</v>
      </c>
      <c r="K36" s="51">
        <v>0.76637313170047094</v>
      </c>
      <c r="L36" s="51">
        <v>0.76277629814186443</v>
      </c>
      <c r="M36" s="51">
        <v>0.79270310377355735</v>
      </c>
      <c r="N36" s="51">
        <v>0.80037888587826878</v>
      </c>
      <c r="O36" s="51">
        <v>0.78491973898925171</v>
      </c>
      <c r="P36" s="51">
        <v>0.81798295523083631</v>
      </c>
      <c r="Q36" s="51">
        <v>0.83287936608746271</v>
      </c>
      <c r="R36" s="51">
        <v>0.87285882006029403</v>
      </c>
      <c r="S36" s="51">
        <v>0.84698322166712214</v>
      </c>
      <c r="T36" s="51">
        <v>0.88237473080322326</v>
      </c>
      <c r="U36" s="51">
        <v>0.85680643661453704</v>
      </c>
      <c r="V36" s="51">
        <v>0.91987752721116844</v>
      </c>
      <c r="W36" s="51">
        <v>0.89487271400962842</v>
      </c>
      <c r="X36" s="51">
        <v>0.90309357893338327</v>
      </c>
      <c r="Y36" s="51">
        <v>0.94002707807559949</v>
      </c>
      <c r="Z36" s="51">
        <v>0.96367641406086024</v>
      </c>
      <c r="AA36" s="51">
        <v>0.97285198703687414</v>
      </c>
      <c r="AB36" s="51">
        <v>0.9387298953567611</v>
      </c>
      <c r="AC36" s="51">
        <v>0.94203032443143631</v>
      </c>
      <c r="AD36" s="51">
        <v>0.9284799811766915</v>
      </c>
      <c r="AE36" s="51">
        <v>0.9317014976207495</v>
      </c>
      <c r="AF36" s="51">
        <v>0.9544133685231333</v>
      </c>
      <c r="AG36" s="51">
        <v>0.9220039356731845</v>
      </c>
      <c r="AH36" s="51">
        <v>0.96476109377489927</v>
      </c>
      <c r="AI36" s="51">
        <v>0.96955565897254781</v>
      </c>
      <c r="AJ36" s="51">
        <v>0.97036420296185755</v>
      </c>
      <c r="AK36" s="51">
        <v>0.94698870901977472</v>
      </c>
      <c r="AL36" s="51">
        <v>0.93449624852893487</v>
      </c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</row>
    <row r="37" spans="5:55" x14ac:dyDescent="0.2">
      <c r="E37">
        <v>1700</v>
      </c>
      <c r="F37" s="51">
        <v>0.68977743471221309</v>
      </c>
      <c r="G37" s="51">
        <v>0.74194719371610551</v>
      </c>
      <c r="H37" s="51">
        <v>0.73432891756302332</v>
      </c>
      <c r="I37" s="51">
        <v>0.70702873579855685</v>
      </c>
      <c r="J37" s="51">
        <v>0.74956827320436981</v>
      </c>
      <c r="K37" s="51">
        <v>0.75314131328237688</v>
      </c>
      <c r="L37" s="51">
        <v>0.79627796696363973</v>
      </c>
      <c r="M37" s="51">
        <v>0.73727009165892321</v>
      </c>
      <c r="N37" s="51">
        <v>0.81245478360964263</v>
      </c>
      <c r="O37" s="51">
        <v>0.83712116840618223</v>
      </c>
      <c r="P37" s="51">
        <v>0.82207944316773629</v>
      </c>
      <c r="Q37" s="51">
        <v>0.77537414553640516</v>
      </c>
      <c r="R37" s="51">
        <v>0.81555435517490027</v>
      </c>
      <c r="S37" s="51">
        <v>0.81140109316566811</v>
      </c>
      <c r="T37" s="51">
        <v>0.91548967036288431</v>
      </c>
      <c r="U37" s="51">
        <v>0.85786476572437742</v>
      </c>
      <c r="V37" s="51">
        <v>0.90578600628743999</v>
      </c>
      <c r="W37" s="51">
        <v>0.85912793972265444</v>
      </c>
      <c r="X37" s="51">
        <v>0.90594801299833727</v>
      </c>
      <c r="Y37" s="51">
        <v>0.9674061233016259</v>
      </c>
      <c r="Z37" s="51">
        <v>0.94086135924889625</v>
      </c>
      <c r="AA37" s="51">
        <v>0.95106388453671309</v>
      </c>
      <c r="AB37" s="51">
        <v>0.97656396558370417</v>
      </c>
      <c r="AC37" s="51">
        <v>0.93202035446442466</v>
      </c>
      <c r="AD37" s="51">
        <v>0.93691755432612855</v>
      </c>
      <c r="AE37" s="51">
        <v>0.97360588688296457</v>
      </c>
      <c r="AF37" s="51">
        <v>0.9654623322234539</v>
      </c>
      <c r="AG37" s="51">
        <v>0.95391805743517111</v>
      </c>
      <c r="AH37" s="51">
        <v>0.97129382780753226</v>
      </c>
      <c r="AI37" s="51">
        <v>0.93809972524685392</v>
      </c>
      <c r="AJ37" s="51">
        <v>0.96897876828825824</v>
      </c>
      <c r="AK37" s="51">
        <v>0.95196608452004561</v>
      </c>
      <c r="AL37" s="51">
        <v>0.96405328134430712</v>
      </c>
      <c r="AM37" s="51">
        <v>0.96004447375558355</v>
      </c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</row>
    <row r="38" spans="5:55" x14ac:dyDescent="0.2">
      <c r="E38">
        <v>1750</v>
      </c>
      <c r="F38" s="51">
        <v>0.73955104043992514</v>
      </c>
      <c r="G38" s="51">
        <v>0.76526961824096862</v>
      </c>
      <c r="H38" s="51">
        <v>0.76186837252221107</v>
      </c>
      <c r="I38" s="51">
        <v>0.74092438426059104</v>
      </c>
      <c r="J38" s="51">
        <v>0.7680232255588253</v>
      </c>
      <c r="K38" s="51">
        <v>0.75053391937980418</v>
      </c>
      <c r="L38" s="51">
        <v>0.75657843424397375</v>
      </c>
      <c r="M38" s="51">
        <v>0.78174491331377816</v>
      </c>
      <c r="N38" s="51">
        <v>0.80548291001555838</v>
      </c>
      <c r="O38" s="51">
        <v>0.79853657117603971</v>
      </c>
      <c r="P38" s="51">
        <v>0.82080716452856395</v>
      </c>
      <c r="Q38" s="51">
        <v>0.858981745664675</v>
      </c>
      <c r="R38" s="51">
        <v>0.82541256966940013</v>
      </c>
      <c r="S38" s="51">
        <v>0.88606740432013464</v>
      </c>
      <c r="T38" s="51">
        <v>0.87974218774229374</v>
      </c>
      <c r="U38" s="51">
        <v>0.86019386502989081</v>
      </c>
      <c r="V38" s="51">
        <v>0.94465892534369089</v>
      </c>
      <c r="W38" s="51">
        <v>0.92954398429467378</v>
      </c>
      <c r="X38" s="51">
        <v>0.88113886779526429</v>
      </c>
      <c r="Y38" s="51">
        <v>0.97000942033618731</v>
      </c>
      <c r="Z38" s="51">
        <v>0.95520942021886113</v>
      </c>
      <c r="AA38" s="51">
        <v>0.91559763831133223</v>
      </c>
      <c r="AB38" s="51">
        <v>0.92232712847847376</v>
      </c>
      <c r="AC38" s="51">
        <v>0.97344868964890663</v>
      </c>
      <c r="AD38" s="51">
        <v>0.95755069208412735</v>
      </c>
      <c r="AE38" s="51">
        <v>0.96544496382946432</v>
      </c>
      <c r="AF38" s="51">
        <v>0.97991204765484563</v>
      </c>
      <c r="AG38" s="51">
        <v>0.94830041055568315</v>
      </c>
      <c r="AH38" s="51">
        <v>0.96816162231399561</v>
      </c>
      <c r="AI38" s="51">
        <v>0.96132990944747165</v>
      </c>
      <c r="AJ38" s="51">
        <v>0.96027760808935558</v>
      </c>
      <c r="AK38" s="51">
        <v>0.9726882455609096</v>
      </c>
      <c r="AL38" s="51">
        <v>0.97444990682062926</v>
      </c>
      <c r="AM38" s="51">
        <v>0.96962372211340031</v>
      </c>
      <c r="AN38" s="51">
        <v>0.96693626890419504</v>
      </c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</row>
    <row r="39" spans="5:55" x14ac:dyDescent="0.2">
      <c r="E39">
        <v>1800</v>
      </c>
      <c r="F39" s="51">
        <v>0.67561111945940422</v>
      </c>
      <c r="G39" s="51">
        <v>0.66043356219009441</v>
      </c>
      <c r="H39" s="51">
        <v>0.71774064289066764</v>
      </c>
      <c r="I39" s="51">
        <v>0.76835011570304623</v>
      </c>
      <c r="J39" s="51">
        <v>0.75707464460961305</v>
      </c>
      <c r="K39" s="51">
        <v>0.75787707161368756</v>
      </c>
      <c r="L39" s="51">
        <v>0.80194568648493592</v>
      </c>
      <c r="M39" s="51">
        <v>0.76633023459471716</v>
      </c>
      <c r="N39" s="51">
        <v>0.76920257055464092</v>
      </c>
      <c r="O39" s="51">
        <v>0.7946917425755482</v>
      </c>
      <c r="P39" s="51">
        <v>0.83707897888859173</v>
      </c>
      <c r="Q39" s="51">
        <v>0.81208289560735303</v>
      </c>
      <c r="R39" s="51">
        <v>0.81335912126651944</v>
      </c>
      <c r="S39" s="51">
        <v>0.86578722771445615</v>
      </c>
      <c r="T39" s="51">
        <v>0.885765522297849</v>
      </c>
      <c r="U39" s="51">
        <v>0.8346075769515412</v>
      </c>
      <c r="V39" s="51">
        <v>0.92210920431920185</v>
      </c>
      <c r="W39" s="51">
        <v>0.91702315576263294</v>
      </c>
      <c r="X39" s="51">
        <v>0.87372549307762903</v>
      </c>
      <c r="Y39" s="51">
        <v>0.93997153337675421</v>
      </c>
      <c r="Z39" s="51">
        <v>0.93405777925741917</v>
      </c>
      <c r="AA39" s="51">
        <v>0.96449554809809612</v>
      </c>
      <c r="AB39" s="51">
        <v>0.95272098362458524</v>
      </c>
      <c r="AC39" s="51">
        <v>0.94791277808764485</v>
      </c>
      <c r="AD39" s="51">
        <v>0.97845884885074974</v>
      </c>
      <c r="AE39" s="51">
        <v>0.96560614208199491</v>
      </c>
      <c r="AF39" s="51">
        <v>0.95040427151817386</v>
      </c>
      <c r="AG39" s="51">
        <v>0.97812166772407516</v>
      </c>
      <c r="AH39" s="51">
        <v>0.97131401437645981</v>
      </c>
      <c r="AI39" s="51">
        <v>0.95641067876332808</v>
      </c>
      <c r="AJ39" s="51">
        <v>0.96234410874872156</v>
      </c>
      <c r="AK39" s="51">
        <v>0.97395048895118097</v>
      </c>
      <c r="AL39" s="51">
        <v>0.97370156248130568</v>
      </c>
      <c r="AM39" s="51">
        <v>0.97783120856464789</v>
      </c>
      <c r="AN39" s="51">
        <v>0.97683697214869236</v>
      </c>
      <c r="AO39" s="51">
        <v>0.95363315164608808</v>
      </c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</row>
    <row r="40" spans="5:55" x14ac:dyDescent="0.2">
      <c r="E40">
        <v>1850</v>
      </c>
      <c r="F40" s="51">
        <v>0.6965049697208876</v>
      </c>
      <c r="G40" s="51">
        <v>0.70550105235458105</v>
      </c>
      <c r="H40" s="51">
        <v>0.73445136009729051</v>
      </c>
      <c r="I40" s="51">
        <v>0.75885518516532469</v>
      </c>
      <c r="J40" s="51">
        <v>0.79070112017017502</v>
      </c>
      <c r="K40" s="51">
        <v>0.78390939189022157</v>
      </c>
      <c r="L40" s="51">
        <v>0.79381805099904201</v>
      </c>
      <c r="M40" s="51">
        <v>0.7810293151069263</v>
      </c>
      <c r="N40" s="51">
        <v>0.82027422754884993</v>
      </c>
      <c r="O40" s="51">
        <v>0.7903652699730348</v>
      </c>
      <c r="P40" s="51">
        <v>0.85896482701739085</v>
      </c>
      <c r="Q40" s="51">
        <v>0.84424444637483131</v>
      </c>
      <c r="R40" s="51">
        <v>0.88492641302862796</v>
      </c>
      <c r="S40" s="51">
        <v>0.8290607778284379</v>
      </c>
      <c r="T40" s="51">
        <v>0.90772658319520338</v>
      </c>
      <c r="U40" s="51">
        <v>0.9096697734335385</v>
      </c>
      <c r="V40" s="51">
        <v>0.84101490135154466</v>
      </c>
      <c r="W40" s="51">
        <v>0.90539850434890656</v>
      </c>
      <c r="X40" s="51">
        <v>0.86455988117869942</v>
      </c>
      <c r="Y40" s="51">
        <v>0.92817415121771152</v>
      </c>
      <c r="Z40" s="51">
        <v>0.93458069842682001</v>
      </c>
      <c r="AA40" s="51">
        <v>0.94343382408470811</v>
      </c>
      <c r="AB40" s="51">
        <v>0.96094110795968668</v>
      </c>
      <c r="AC40" s="51">
        <v>0.97917632050566694</v>
      </c>
      <c r="AD40" s="51">
        <v>0.95950662312308754</v>
      </c>
      <c r="AE40" s="51">
        <v>0.97631108910253017</v>
      </c>
      <c r="AF40" s="51">
        <v>0.96525689332621833</v>
      </c>
      <c r="AG40" s="51">
        <v>0.96851774538048174</v>
      </c>
      <c r="AH40" s="51">
        <v>0.99286871106806163</v>
      </c>
      <c r="AI40" s="51">
        <v>0.95634718468071367</v>
      </c>
      <c r="AJ40" s="51">
        <v>1.0000000000000002</v>
      </c>
      <c r="AK40" s="51">
        <v>0.97514029567384797</v>
      </c>
      <c r="AL40" s="51">
        <v>0.95445707994974172</v>
      </c>
      <c r="AM40" s="51">
        <v>0.98768357055018496</v>
      </c>
      <c r="AN40" s="51">
        <v>0.97717678091980276</v>
      </c>
      <c r="AO40" s="51">
        <v>1.0000000000000002</v>
      </c>
      <c r="AP40" s="51">
        <v>1.0000000000000002</v>
      </c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</row>
    <row r="41" spans="5:55" x14ac:dyDescent="0.2">
      <c r="E41">
        <v>1900</v>
      </c>
      <c r="F41" s="51">
        <v>0.66709439421097161</v>
      </c>
      <c r="G41" s="51">
        <v>0.69929490774311798</v>
      </c>
      <c r="H41" s="51">
        <v>0.74221380542221516</v>
      </c>
      <c r="I41" s="51">
        <v>0.74225161097795622</v>
      </c>
      <c r="J41" s="51">
        <v>0.73192359428804565</v>
      </c>
      <c r="K41" s="51">
        <v>0.75196085237122778</v>
      </c>
      <c r="L41" s="51">
        <v>0.81121161885861759</v>
      </c>
      <c r="M41" s="51">
        <v>0.83254239274212971</v>
      </c>
      <c r="N41" s="51">
        <v>0.79457968681321001</v>
      </c>
      <c r="O41" s="51">
        <v>0.80730115377523615</v>
      </c>
      <c r="P41" s="51">
        <v>0.80439628569767851</v>
      </c>
      <c r="Q41" s="51">
        <v>0.83720177934623963</v>
      </c>
      <c r="R41" s="51">
        <v>0.84536711388394103</v>
      </c>
      <c r="S41" s="51">
        <v>0.85644657371579413</v>
      </c>
      <c r="T41" s="51">
        <v>0.8693307181277955</v>
      </c>
      <c r="U41" s="51">
        <v>0.88746620194724546</v>
      </c>
      <c r="V41" s="51">
        <v>0.86781056894083908</v>
      </c>
      <c r="W41" s="51">
        <v>0.89986316798158761</v>
      </c>
      <c r="X41" s="51">
        <v>0.87077363737711377</v>
      </c>
      <c r="Y41" s="51">
        <v>0.89385514773257979</v>
      </c>
      <c r="Z41" s="51">
        <v>0.89853869553798438</v>
      </c>
      <c r="AA41" s="51">
        <v>0.96797202936899074</v>
      </c>
      <c r="AB41" s="51">
        <v>0.95509181170639867</v>
      </c>
      <c r="AC41" s="51">
        <v>0.98200211314131403</v>
      </c>
      <c r="AD41" s="51">
        <v>0.98460108734632634</v>
      </c>
      <c r="AE41" s="51">
        <v>0.96890058801956047</v>
      </c>
      <c r="AF41" s="51">
        <v>0.96070569099713221</v>
      </c>
      <c r="AG41" s="51">
        <v>0.98076119555321961</v>
      </c>
      <c r="AH41" s="51">
        <v>0.96326755597974589</v>
      </c>
      <c r="AI41" s="51">
        <v>0.97554788038917639</v>
      </c>
      <c r="AJ41" s="51">
        <v>0.97610994892457803</v>
      </c>
      <c r="AK41" s="51">
        <v>0.95988243913117732</v>
      </c>
      <c r="AL41" s="51">
        <v>0.9778004685952586</v>
      </c>
      <c r="AM41" s="51">
        <v>1.0000000000000002</v>
      </c>
      <c r="AN41" s="51">
        <v>0.96424873115252896</v>
      </c>
      <c r="AO41" s="51">
        <v>0.97580562987465636</v>
      </c>
      <c r="AP41" s="51">
        <v>0.98496316515917781</v>
      </c>
      <c r="AQ41" s="51">
        <v>0.97485953858921237</v>
      </c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</row>
    <row r="42" spans="5:55" x14ac:dyDescent="0.2">
      <c r="E42">
        <v>1950</v>
      </c>
      <c r="F42" s="51">
        <v>0.6804334408651701</v>
      </c>
      <c r="G42" s="51">
        <v>0.66391942053682917</v>
      </c>
      <c r="H42" s="51">
        <v>0.70251876769662014</v>
      </c>
      <c r="I42" s="51">
        <v>0.76111205398454362</v>
      </c>
      <c r="J42" s="51">
        <v>0.82349756522401818</v>
      </c>
      <c r="K42" s="51">
        <v>0.76142852150447571</v>
      </c>
      <c r="L42" s="51">
        <v>0.80201609571345645</v>
      </c>
      <c r="M42" s="51">
        <v>0.83191658676077518</v>
      </c>
      <c r="N42" s="51">
        <v>0.76633340484556034</v>
      </c>
      <c r="O42" s="51">
        <v>0.85531826279875078</v>
      </c>
      <c r="P42" s="51">
        <v>0.83533609330151881</v>
      </c>
      <c r="Q42" s="51">
        <v>0.83584152525719801</v>
      </c>
      <c r="R42" s="51">
        <v>0.86200344900993775</v>
      </c>
      <c r="S42" s="51">
        <v>0.86736846008823676</v>
      </c>
      <c r="T42" s="51">
        <v>0.88355399625917297</v>
      </c>
      <c r="U42" s="51">
        <v>0.87400058071007347</v>
      </c>
      <c r="V42" s="51">
        <v>0.876801903968353</v>
      </c>
      <c r="W42" s="51">
        <v>0.94281420235513302</v>
      </c>
      <c r="X42" s="51">
        <v>0.90838304528496328</v>
      </c>
      <c r="Y42" s="51">
        <v>0.92277006166929587</v>
      </c>
      <c r="Z42" s="51">
        <v>0.93334227761522359</v>
      </c>
      <c r="AA42" s="51">
        <v>0.96053830052746392</v>
      </c>
      <c r="AB42" s="51">
        <v>0.97136694397660306</v>
      </c>
      <c r="AC42" s="51">
        <v>0.9813305911451633</v>
      </c>
      <c r="AD42" s="51">
        <v>0.99193211285609217</v>
      </c>
      <c r="AE42" s="51">
        <v>0.96134609464980114</v>
      </c>
      <c r="AF42" s="51">
        <v>0.94241607239542424</v>
      </c>
      <c r="AG42" s="51">
        <v>0.9723952803021686</v>
      </c>
      <c r="AH42" s="51">
        <v>0.97612088356164284</v>
      </c>
      <c r="AI42" s="51">
        <v>0.98694195437826782</v>
      </c>
      <c r="AJ42" s="51">
        <v>0.96921469014641448</v>
      </c>
      <c r="AK42" s="51">
        <v>0.98755147178522462</v>
      </c>
      <c r="AL42" s="51">
        <v>0.96661951017330616</v>
      </c>
      <c r="AM42" s="51">
        <v>0.98467154230838261</v>
      </c>
      <c r="AN42" s="51">
        <v>1.0000000000000002</v>
      </c>
      <c r="AO42" s="51">
        <v>0.97775292558151883</v>
      </c>
      <c r="AP42" s="51">
        <v>0.97797112063869618</v>
      </c>
      <c r="AQ42" s="51">
        <v>0.99839110638462802</v>
      </c>
      <c r="AR42" s="51">
        <v>0.97076120054507775</v>
      </c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</row>
    <row r="43" spans="5:55" x14ac:dyDescent="0.2">
      <c r="E43">
        <v>2000</v>
      </c>
      <c r="F43" s="51">
        <v>0.74044852576066555</v>
      </c>
      <c r="G43" s="51">
        <v>0.7218833953056556</v>
      </c>
      <c r="H43" s="51">
        <v>0.72239371149930831</v>
      </c>
      <c r="I43" s="51">
        <v>0.74601633746061968</v>
      </c>
      <c r="J43" s="51">
        <v>0.73306329353775657</v>
      </c>
      <c r="K43" s="51">
        <v>0.77221950607570544</v>
      </c>
      <c r="L43" s="51">
        <v>0.80318399726302947</v>
      </c>
      <c r="M43" s="51">
        <v>0.80981451583569597</v>
      </c>
      <c r="N43" s="51">
        <v>0.81852013645986621</v>
      </c>
      <c r="O43" s="51">
        <v>0.81583299824598754</v>
      </c>
      <c r="P43" s="51">
        <v>0.84254703291048438</v>
      </c>
      <c r="Q43" s="51">
        <v>0.86094050302857961</v>
      </c>
      <c r="R43" s="51">
        <v>0.84617388248547942</v>
      </c>
      <c r="S43" s="51">
        <v>0.8782635229227489</v>
      </c>
      <c r="T43" s="51">
        <v>0.82573632916333373</v>
      </c>
      <c r="U43" s="51">
        <v>0.90242378313462823</v>
      </c>
      <c r="V43" s="51">
        <v>0.88325015784840322</v>
      </c>
      <c r="W43" s="51">
        <v>0.87281618402600147</v>
      </c>
      <c r="X43" s="51">
        <v>0.92842239830184825</v>
      </c>
      <c r="Y43" s="51">
        <v>0.94531592996816582</v>
      </c>
      <c r="Z43" s="51">
        <v>0.86790488537234833</v>
      </c>
      <c r="AA43" s="51">
        <v>0.90812081459199767</v>
      </c>
      <c r="AB43" s="51">
        <v>0.96953403220598178</v>
      </c>
      <c r="AC43" s="51">
        <v>0.96227931231304986</v>
      </c>
      <c r="AD43" s="51">
        <v>0.97910107507792632</v>
      </c>
      <c r="AE43" s="51">
        <v>0.97452931792366115</v>
      </c>
      <c r="AF43" s="51">
        <v>0.98943308029749144</v>
      </c>
      <c r="AG43" s="51">
        <v>0.99597536835710787</v>
      </c>
      <c r="AH43" s="51">
        <v>0.98536858738953392</v>
      </c>
      <c r="AI43" s="51">
        <v>0.98183730337921205</v>
      </c>
      <c r="AJ43" s="51">
        <v>0.98092130333029526</v>
      </c>
      <c r="AK43" s="51">
        <v>0.98797168786848322</v>
      </c>
      <c r="AL43" s="51">
        <v>0.98226712069893962</v>
      </c>
      <c r="AM43" s="51">
        <v>0.98912734059928831</v>
      </c>
      <c r="AN43" s="51">
        <v>0.98682786917104537</v>
      </c>
      <c r="AO43" s="51">
        <v>0.97887835844539273</v>
      </c>
      <c r="AP43" s="51">
        <v>1.0000000000000002</v>
      </c>
      <c r="AQ43" s="51">
        <v>0.98486556833485306</v>
      </c>
      <c r="AR43" s="51">
        <v>0.96906770447196233</v>
      </c>
      <c r="AS43" s="51">
        <v>0.98608535199980818</v>
      </c>
      <c r="AT43" s="51"/>
      <c r="AU43" s="51"/>
      <c r="AV43" s="51"/>
      <c r="AW43" s="51"/>
      <c r="AX43" s="51"/>
      <c r="AY43" s="51"/>
      <c r="AZ43" s="51"/>
      <c r="BA43" s="51"/>
      <c r="BB43" s="51"/>
      <c r="BC43" s="51"/>
    </row>
    <row r="44" spans="5:55" x14ac:dyDescent="0.2">
      <c r="E44">
        <v>2050</v>
      </c>
      <c r="F44" s="51">
        <v>0.70186480546227581</v>
      </c>
      <c r="G44" s="51">
        <v>0.75572180033649505</v>
      </c>
      <c r="H44" s="51">
        <v>0.7562127775613372</v>
      </c>
      <c r="I44" s="51">
        <v>0.74320526642587548</v>
      </c>
      <c r="J44" s="51">
        <v>0.73777595621017034</v>
      </c>
      <c r="K44" s="51">
        <v>0.79728987356611192</v>
      </c>
      <c r="L44" s="51">
        <v>0.81491478452247768</v>
      </c>
      <c r="M44" s="51">
        <v>0.78957228648202393</v>
      </c>
      <c r="N44" s="51">
        <v>0.87640631008469871</v>
      </c>
      <c r="O44" s="51">
        <v>0.81919803015724968</v>
      </c>
      <c r="P44" s="51">
        <v>0.83762519845435857</v>
      </c>
      <c r="Q44" s="51">
        <v>0.85717189196352428</v>
      </c>
      <c r="R44" s="51">
        <v>0.86091908225770986</v>
      </c>
      <c r="S44" s="51">
        <v>0.87768294776277822</v>
      </c>
      <c r="T44" s="51">
        <v>0.87124610665938163</v>
      </c>
      <c r="U44" s="51">
        <v>0.91362962035705719</v>
      </c>
      <c r="V44" s="51">
        <v>0.93744661229018278</v>
      </c>
      <c r="W44" s="51">
        <v>0.95052520152560127</v>
      </c>
      <c r="X44" s="51">
        <v>0.96123309244370225</v>
      </c>
      <c r="Y44" s="51">
        <v>0.90625086543745226</v>
      </c>
      <c r="Z44" s="51">
        <v>0.97001214066958785</v>
      </c>
      <c r="AA44" s="51">
        <v>0.97134432728751618</v>
      </c>
      <c r="AB44" s="51">
        <v>0.96312909216617359</v>
      </c>
      <c r="AC44" s="51">
        <v>0.92634784841608953</v>
      </c>
      <c r="AD44" s="51">
        <v>0.98307403156140649</v>
      </c>
      <c r="AE44" s="51">
        <v>0.95708421582310343</v>
      </c>
      <c r="AF44" s="51">
        <v>0.98273621600204686</v>
      </c>
      <c r="AG44" s="51">
        <v>0.97904625372276455</v>
      </c>
      <c r="AH44" s="51">
        <v>0.96789665546858017</v>
      </c>
      <c r="AI44" s="51">
        <v>0.96580353444366762</v>
      </c>
      <c r="AJ44" s="51">
        <v>0.98736349018736447</v>
      </c>
      <c r="AK44" s="51">
        <v>0.98122225264265528</v>
      </c>
      <c r="AL44" s="51">
        <v>1.0000000000000002</v>
      </c>
      <c r="AM44" s="51">
        <v>0.9880024648749729</v>
      </c>
      <c r="AN44" s="51">
        <v>0.98686446023909258</v>
      </c>
      <c r="AO44" s="51">
        <v>1.0000000000000002</v>
      </c>
      <c r="AP44" s="51">
        <v>0.99999351746836151</v>
      </c>
      <c r="AQ44" s="51">
        <v>1.0000000000000002</v>
      </c>
      <c r="AR44" s="51">
        <v>1.0000000000000002</v>
      </c>
      <c r="AS44" s="51">
        <v>0.99439757558519792</v>
      </c>
      <c r="AT44" s="51">
        <v>0.98807810748981828</v>
      </c>
      <c r="AU44" s="51"/>
      <c r="AV44" s="51"/>
      <c r="AW44" s="51"/>
      <c r="AX44" s="51"/>
      <c r="AY44" s="51"/>
      <c r="AZ44" s="51"/>
      <c r="BA44" s="51"/>
      <c r="BB44" s="51"/>
      <c r="BC44" s="51"/>
    </row>
    <row r="45" spans="5:55" x14ac:dyDescent="0.2">
      <c r="E45">
        <v>2100</v>
      </c>
      <c r="F45" s="51">
        <v>0.73186045756724871</v>
      </c>
      <c r="G45" s="51">
        <v>0.81865763103687605</v>
      </c>
      <c r="H45" s="51">
        <v>0.72015407203905124</v>
      </c>
      <c r="I45" s="51">
        <v>0.75553625829551641</v>
      </c>
      <c r="J45" s="51">
        <v>0.74823563699190165</v>
      </c>
      <c r="K45" s="51">
        <v>0.79985410097997722</v>
      </c>
      <c r="L45" s="51">
        <v>0.80756496670378586</v>
      </c>
      <c r="M45" s="51">
        <v>0.83476120895934192</v>
      </c>
      <c r="N45" s="51">
        <v>0.83687541759489303</v>
      </c>
      <c r="O45" s="51">
        <v>0.82279750445617683</v>
      </c>
      <c r="P45" s="51">
        <v>0.89473910496247178</v>
      </c>
      <c r="Q45" s="51">
        <v>0.85989769567294461</v>
      </c>
      <c r="R45" s="51">
        <v>0.90836550125458204</v>
      </c>
      <c r="S45" s="51">
        <v>0.87690223783261434</v>
      </c>
      <c r="T45" s="51">
        <v>0.89038096135247913</v>
      </c>
      <c r="U45" s="51">
        <v>0.89175379729944182</v>
      </c>
      <c r="V45" s="51">
        <v>0.88306626742781302</v>
      </c>
      <c r="W45" s="51">
        <v>0.90813306764149171</v>
      </c>
      <c r="X45" s="51">
        <v>0.9747834161769745</v>
      </c>
      <c r="Y45" s="51">
        <v>0.90574891594669782</v>
      </c>
      <c r="Z45" s="51">
        <v>0.94504357163934227</v>
      </c>
      <c r="AA45" s="51">
        <v>0.94248767158440472</v>
      </c>
      <c r="AB45" s="51">
        <v>0.96322401936731539</v>
      </c>
      <c r="AC45" s="51">
        <v>0.97474323287452513</v>
      </c>
      <c r="AD45" s="51">
        <v>0.97964527265468637</v>
      </c>
      <c r="AE45" s="51">
        <v>0.98539103911607984</v>
      </c>
      <c r="AF45" s="51">
        <v>0.99491616034686781</v>
      </c>
      <c r="AG45" s="51">
        <v>0.9806245733406076</v>
      </c>
      <c r="AH45" s="51">
        <v>0.99365503466923921</v>
      </c>
      <c r="AI45" s="51">
        <v>0.9822313219064216</v>
      </c>
      <c r="AJ45" s="51">
        <v>0.97748013080294638</v>
      </c>
      <c r="AK45" s="51">
        <v>0.98868308208147893</v>
      </c>
      <c r="AL45" s="51">
        <v>1.0000000000000002</v>
      </c>
      <c r="AM45" s="51">
        <v>0.98669017991203634</v>
      </c>
      <c r="AN45" s="51">
        <v>1.0000000000000002</v>
      </c>
      <c r="AO45" s="51">
        <v>0.98745915662925221</v>
      </c>
      <c r="AP45" s="51">
        <v>0.99029905791563688</v>
      </c>
      <c r="AQ45" s="51">
        <v>0.99011596702282534</v>
      </c>
      <c r="AR45" s="51">
        <v>0.99217315913210857</v>
      </c>
      <c r="AS45" s="51">
        <v>0.98662352500151462</v>
      </c>
      <c r="AT45" s="51">
        <v>0.99005463002575522</v>
      </c>
      <c r="AU45" s="51">
        <v>0.99165414977166177</v>
      </c>
      <c r="AV45" s="51"/>
      <c r="AW45" s="51"/>
      <c r="AX45" s="51"/>
      <c r="AY45" s="51"/>
      <c r="AZ45" s="51"/>
      <c r="BA45" s="51"/>
      <c r="BB45" s="51"/>
      <c r="BC45" s="51"/>
    </row>
    <row r="46" spans="5:55" x14ac:dyDescent="0.2">
      <c r="E46">
        <v>2150</v>
      </c>
      <c r="F46" s="51">
        <v>0.73384070295148462</v>
      </c>
      <c r="G46" s="51">
        <v>0.74821244344800886</v>
      </c>
      <c r="H46" s="51">
        <v>0.76893702094632788</v>
      </c>
      <c r="I46" s="51">
        <v>0.77175777731282125</v>
      </c>
      <c r="J46" s="51">
        <v>0.74965622017641453</v>
      </c>
      <c r="K46" s="51">
        <v>0.78003237066587228</v>
      </c>
      <c r="L46" s="51">
        <v>0.8379629055163067</v>
      </c>
      <c r="M46" s="51">
        <v>0.76858983343278031</v>
      </c>
      <c r="N46" s="51">
        <v>0.86429162377490687</v>
      </c>
      <c r="O46" s="51">
        <v>0.86412932533621389</v>
      </c>
      <c r="P46" s="51">
        <v>0.85953046668141286</v>
      </c>
      <c r="Q46" s="51">
        <v>0.85662481376140387</v>
      </c>
      <c r="R46" s="51">
        <v>0.90508487264697945</v>
      </c>
      <c r="S46" s="51">
        <v>0.87285177005281289</v>
      </c>
      <c r="T46" s="51">
        <v>0.91467593422676052</v>
      </c>
      <c r="U46" s="51">
        <v>0.89284363467760341</v>
      </c>
      <c r="V46" s="51">
        <v>0.8843021213512795</v>
      </c>
      <c r="W46" s="51">
        <v>0.91899846664990559</v>
      </c>
      <c r="X46" s="51">
        <v>0.8983521071876055</v>
      </c>
      <c r="Y46" s="51">
        <v>0.91811542073365127</v>
      </c>
      <c r="Z46" s="51">
        <v>0.92480228373981643</v>
      </c>
      <c r="AA46" s="51">
        <v>0.94806260037378265</v>
      </c>
      <c r="AB46" s="51">
        <v>0.95558777856154176</v>
      </c>
      <c r="AC46" s="51">
        <v>0.93838255030285844</v>
      </c>
      <c r="AD46" s="51">
        <v>0.95336018570783843</v>
      </c>
      <c r="AE46" s="51">
        <v>0.95142327710597274</v>
      </c>
      <c r="AF46" s="51">
        <v>1.0000000000000002</v>
      </c>
      <c r="AG46" s="51">
        <v>0.97589039091812424</v>
      </c>
      <c r="AH46" s="51">
        <v>0.96380051561744384</v>
      </c>
      <c r="AI46" s="51">
        <v>0.98155944623792224</v>
      </c>
      <c r="AJ46" s="51">
        <v>0.98013825127651899</v>
      </c>
      <c r="AK46" s="51">
        <v>0.98462222504880403</v>
      </c>
      <c r="AL46" s="51">
        <v>0.99057009932007556</v>
      </c>
      <c r="AM46" s="51">
        <v>0.98628129282769794</v>
      </c>
      <c r="AN46" s="51">
        <v>1.0000000000000002</v>
      </c>
      <c r="AO46" s="51">
        <v>0.99450082056032907</v>
      </c>
      <c r="AP46" s="51">
        <v>0.988963223809599</v>
      </c>
      <c r="AQ46" s="51">
        <v>0.99190147445442067</v>
      </c>
      <c r="AR46" s="51">
        <v>0.9925757462353858</v>
      </c>
      <c r="AS46" s="51">
        <v>0.9950576068313286</v>
      </c>
      <c r="AT46" s="51">
        <v>0.99533165404103707</v>
      </c>
      <c r="AU46" s="51">
        <v>0.99534515030554394</v>
      </c>
      <c r="AV46" s="51">
        <v>0.99130349801875584</v>
      </c>
      <c r="AW46" s="51"/>
      <c r="AX46" s="51"/>
      <c r="AY46" s="51"/>
      <c r="AZ46" s="51"/>
      <c r="BA46" s="51"/>
      <c r="BB46" s="51"/>
      <c r="BC46" s="51"/>
    </row>
    <row r="47" spans="5:55" x14ac:dyDescent="0.2">
      <c r="E47">
        <v>2200</v>
      </c>
      <c r="F47" s="51">
        <v>0.7364688825018969</v>
      </c>
      <c r="G47" s="51">
        <v>0.76829331252213273</v>
      </c>
      <c r="H47" s="51">
        <v>0.79378751781889767</v>
      </c>
      <c r="I47" s="51">
        <v>0.75333087150459188</v>
      </c>
      <c r="J47" s="51">
        <v>0.7828535917454108</v>
      </c>
      <c r="K47" s="51">
        <v>0.75734873407620729</v>
      </c>
      <c r="L47" s="51">
        <v>0.7933389939860146</v>
      </c>
      <c r="M47" s="51">
        <v>0.82797249654717731</v>
      </c>
      <c r="N47" s="51">
        <v>0.80879069674085469</v>
      </c>
      <c r="O47" s="51">
        <v>0.83940128338483</v>
      </c>
      <c r="P47" s="51">
        <v>0.85896142516613805</v>
      </c>
      <c r="Q47" s="51">
        <v>0.86940911249029063</v>
      </c>
      <c r="R47" s="51">
        <v>0.84601076958193611</v>
      </c>
      <c r="S47" s="51">
        <v>0.90358248496372207</v>
      </c>
      <c r="T47" s="51">
        <v>0.87535128816610197</v>
      </c>
      <c r="U47" s="51">
        <v>0.86916783431040234</v>
      </c>
      <c r="V47" s="51">
        <v>0.92113137857198779</v>
      </c>
      <c r="W47" s="51">
        <v>0.91969377661905216</v>
      </c>
      <c r="X47" s="51">
        <v>0.91883822461016063</v>
      </c>
      <c r="Y47" s="51">
        <v>0.94739325000419361</v>
      </c>
      <c r="Z47" s="51">
        <v>0.91681388128136643</v>
      </c>
      <c r="AA47" s="51">
        <v>0.94201800115200085</v>
      </c>
      <c r="AB47" s="51">
        <v>0.91775066234722469</v>
      </c>
      <c r="AC47" s="51">
        <v>0.9457112790568214</v>
      </c>
      <c r="AD47" s="51">
        <v>0.92854445952000875</v>
      </c>
      <c r="AE47" s="51">
        <v>0.9148231521777066</v>
      </c>
      <c r="AF47" s="51">
        <v>0.96493363978506985</v>
      </c>
      <c r="AG47" s="51">
        <v>0.98332036533733613</v>
      </c>
      <c r="AH47" s="51">
        <v>1.0000000000000002</v>
      </c>
      <c r="AI47" s="51">
        <v>0.99403801850232942</v>
      </c>
      <c r="AJ47" s="51">
        <v>0.99375888797253475</v>
      </c>
      <c r="AK47" s="51">
        <v>0.99180166381111556</v>
      </c>
      <c r="AL47" s="51">
        <v>0.98725334317981717</v>
      </c>
      <c r="AM47" s="51">
        <v>0.98057753188418528</v>
      </c>
      <c r="AN47" s="51">
        <v>0.99384079176538542</v>
      </c>
      <c r="AO47" s="51">
        <v>0.98670078832991648</v>
      </c>
      <c r="AP47" s="51">
        <v>0.99248501503495767</v>
      </c>
      <c r="AQ47" s="51">
        <v>0.9940185203972336</v>
      </c>
      <c r="AR47" s="51">
        <v>0.98253692356921818</v>
      </c>
      <c r="AS47" s="51">
        <v>0.99519568608918674</v>
      </c>
      <c r="AT47" s="51">
        <v>0.98656820560035285</v>
      </c>
      <c r="AU47" s="51">
        <v>0.99441465036102772</v>
      </c>
      <c r="AV47" s="51">
        <v>0.99760902201783974</v>
      </c>
      <c r="AW47" s="51">
        <v>0.9946016767370307</v>
      </c>
      <c r="AX47" s="51"/>
      <c r="AY47" s="51"/>
      <c r="AZ47" s="51"/>
      <c r="BA47" s="51"/>
      <c r="BB47" s="51"/>
      <c r="BC47" s="51"/>
    </row>
    <row r="48" spans="5:55" x14ac:dyDescent="0.2">
      <c r="E48">
        <v>2250</v>
      </c>
      <c r="F48" s="51">
        <v>0.71901467802170294</v>
      </c>
      <c r="G48" s="51">
        <v>0.72930989697902759</v>
      </c>
      <c r="H48" s="51">
        <v>0.82206368891354931</v>
      </c>
      <c r="I48" s="51">
        <v>0.78484051257079734</v>
      </c>
      <c r="J48" s="51">
        <v>0.7927974612122739</v>
      </c>
      <c r="K48" s="51">
        <v>0.84708781916572629</v>
      </c>
      <c r="L48" s="51">
        <v>0.87026003653967188</v>
      </c>
      <c r="M48" s="51">
        <v>0.80586299712587706</v>
      </c>
      <c r="N48" s="51">
        <v>0.84063893008876911</v>
      </c>
      <c r="O48" s="51">
        <v>0.84010988337077297</v>
      </c>
      <c r="P48" s="51">
        <v>0.87760837019644478</v>
      </c>
      <c r="Q48" s="51">
        <v>0.90030962370367373</v>
      </c>
      <c r="R48" s="51">
        <v>0.88166830516745431</v>
      </c>
      <c r="S48" s="51">
        <v>0.91794096601647768</v>
      </c>
      <c r="T48" s="51">
        <v>0.88925504330272498</v>
      </c>
      <c r="U48" s="51">
        <v>0.92145788836588916</v>
      </c>
      <c r="V48" s="51">
        <v>0.92659126197534492</v>
      </c>
      <c r="W48" s="51">
        <v>0.92297249142508453</v>
      </c>
      <c r="X48" s="51">
        <v>0.90572391204136204</v>
      </c>
      <c r="Y48" s="51">
        <v>0.91078974159538795</v>
      </c>
      <c r="Z48" s="51">
        <v>0.92422503092303243</v>
      </c>
      <c r="AA48" s="51">
        <v>0.95814558968201913</v>
      </c>
      <c r="AB48" s="51">
        <v>0.94248285670943188</v>
      </c>
      <c r="AC48" s="51">
        <v>0.94042282937565824</v>
      </c>
      <c r="AD48" s="51">
        <v>0.97076163760600964</v>
      </c>
      <c r="AE48" s="51">
        <v>0.94605395099976441</v>
      </c>
      <c r="AF48" s="51">
        <v>0.99942178379327207</v>
      </c>
      <c r="AG48" s="51">
        <v>0.99479358042274513</v>
      </c>
      <c r="AH48" s="51">
        <v>0.9895709854003738</v>
      </c>
      <c r="AI48" s="51">
        <v>0.99446635036132769</v>
      </c>
      <c r="AJ48" s="51">
        <v>0.98039556588785093</v>
      </c>
      <c r="AK48" s="51">
        <v>0.99415413974506794</v>
      </c>
      <c r="AL48" s="51">
        <v>1.0000000000000002</v>
      </c>
      <c r="AM48" s="51">
        <v>0.99267196242414912</v>
      </c>
      <c r="AN48" s="51">
        <v>0.99847901006593887</v>
      </c>
      <c r="AO48" s="51">
        <v>1.0000000000000002</v>
      </c>
      <c r="AP48" s="51">
        <v>0.98588333004439577</v>
      </c>
      <c r="AQ48" s="51">
        <v>0.99720903255983206</v>
      </c>
      <c r="AR48" s="51">
        <v>0.99261667141723176</v>
      </c>
      <c r="AS48" s="51">
        <v>0.99772561832749662</v>
      </c>
      <c r="AT48" s="51">
        <v>0.99184061164072068</v>
      </c>
      <c r="AU48" s="51">
        <v>0.99615220880292221</v>
      </c>
      <c r="AV48" s="51">
        <v>0.99534348032363196</v>
      </c>
      <c r="AW48" s="51">
        <v>1.0000000000000002</v>
      </c>
      <c r="AX48" s="51">
        <v>0.99411336807238582</v>
      </c>
      <c r="AY48" s="51"/>
      <c r="AZ48" s="51"/>
      <c r="BA48" s="51"/>
      <c r="BB48" s="51"/>
      <c r="BC48" s="51"/>
    </row>
    <row r="49" spans="5:55" x14ac:dyDescent="0.2">
      <c r="E49">
        <v>2300</v>
      </c>
      <c r="F49" s="51">
        <v>0.73512902448810336</v>
      </c>
      <c r="G49" s="51">
        <v>0.74383890563720823</v>
      </c>
      <c r="H49" s="51">
        <v>0.78337898614431389</v>
      </c>
      <c r="I49" s="51">
        <v>0.77249905990894896</v>
      </c>
      <c r="J49" s="51">
        <v>0.77739494022352662</v>
      </c>
      <c r="K49" s="51">
        <v>0.77203268837519579</v>
      </c>
      <c r="L49" s="51">
        <v>0.83943825924786475</v>
      </c>
      <c r="M49" s="51">
        <v>0.80014825745575102</v>
      </c>
      <c r="N49" s="51">
        <v>0.83219322154116671</v>
      </c>
      <c r="O49" s="51">
        <v>0.8178234161197091</v>
      </c>
      <c r="P49" s="51">
        <v>0.87543706551761546</v>
      </c>
      <c r="Q49" s="51">
        <v>0.92862791897755581</v>
      </c>
      <c r="R49" s="51">
        <v>0.85281344383888469</v>
      </c>
      <c r="S49" s="51">
        <v>0.87037365724978977</v>
      </c>
      <c r="T49" s="51">
        <v>0.86601287553922668</v>
      </c>
      <c r="U49" s="51">
        <v>0.88578953535138694</v>
      </c>
      <c r="V49" s="51">
        <v>0.92442211673748664</v>
      </c>
      <c r="W49" s="51">
        <v>0.9056786360996848</v>
      </c>
      <c r="X49" s="51">
        <v>0.93562703459723828</v>
      </c>
      <c r="Y49" s="51">
        <v>0.93428716103453335</v>
      </c>
      <c r="Z49" s="51">
        <v>0.91926747217732863</v>
      </c>
      <c r="AA49" s="51">
        <v>0.92083156212779971</v>
      </c>
      <c r="AB49" s="51">
        <v>0.98653741594722022</v>
      </c>
      <c r="AC49" s="51">
        <v>0.98278538496811008</v>
      </c>
      <c r="AD49" s="51">
        <v>0.95273889561386449</v>
      </c>
      <c r="AE49" s="51">
        <v>0.95378628019347977</v>
      </c>
      <c r="AF49" s="51">
        <v>0.98079112316886685</v>
      </c>
      <c r="AG49" s="51">
        <v>0.99810123979302268</v>
      </c>
      <c r="AH49" s="51">
        <v>0.98526243381061929</v>
      </c>
      <c r="AI49" s="51">
        <v>1.0000000000000002</v>
      </c>
      <c r="AJ49" s="51">
        <v>0.99611729242348523</v>
      </c>
      <c r="AK49" s="51">
        <v>0.9854198135848149</v>
      </c>
      <c r="AL49" s="51">
        <v>1.0000000000000002</v>
      </c>
      <c r="AM49" s="51">
        <v>0.99712333189089208</v>
      </c>
      <c r="AN49" s="51">
        <v>0.99906220463685502</v>
      </c>
      <c r="AO49" s="51">
        <v>1.0000000000000002</v>
      </c>
      <c r="AP49" s="51">
        <v>1.0000000000000002</v>
      </c>
      <c r="AQ49" s="51">
        <v>1.0000000000000002</v>
      </c>
      <c r="AR49" s="51">
        <v>1.0000000000000002</v>
      </c>
      <c r="AS49" s="51">
        <v>0.99873730920430281</v>
      </c>
      <c r="AT49" s="51">
        <v>0.99399896579042391</v>
      </c>
      <c r="AU49" s="51">
        <v>1.0000000000000002</v>
      </c>
      <c r="AV49" s="51">
        <v>1.0000000000000002</v>
      </c>
      <c r="AW49" s="51">
        <v>1.0000000000000002</v>
      </c>
      <c r="AX49" s="51">
        <v>1.0000000000000002</v>
      </c>
      <c r="AY49" s="51">
        <v>0.99571268727118856</v>
      </c>
      <c r="AZ49" s="51"/>
      <c r="BA49" s="51"/>
      <c r="BB49" s="51"/>
      <c r="BC49" s="51"/>
    </row>
    <row r="50" spans="5:55" x14ac:dyDescent="0.2">
      <c r="E50">
        <v>2350</v>
      </c>
      <c r="F50" s="51">
        <v>0.78461046710116833</v>
      </c>
      <c r="G50" s="51">
        <v>0.78791246997879383</v>
      </c>
      <c r="H50" s="51">
        <v>0.77787392471375139</v>
      </c>
      <c r="I50" s="51">
        <v>0.78557952071929549</v>
      </c>
      <c r="J50" s="51">
        <v>0.81621355606807955</v>
      </c>
      <c r="K50" s="51">
        <v>0.76981436603163189</v>
      </c>
      <c r="L50" s="51">
        <v>0.80343953558248327</v>
      </c>
      <c r="M50" s="51">
        <v>0.81704416014563319</v>
      </c>
      <c r="N50" s="51">
        <v>0.86394435858531415</v>
      </c>
      <c r="O50" s="51">
        <v>0.8379801562316298</v>
      </c>
      <c r="P50" s="51">
        <v>0.85403786238594448</v>
      </c>
      <c r="Q50" s="51">
        <v>0.87998790849130948</v>
      </c>
      <c r="R50" s="51">
        <v>0.91075717862825267</v>
      </c>
      <c r="S50" s="51">
        <v>0.90428565090784274</v>
      </c>
      <c r="T50" s="51">
        <v>0.85534289820399989</v>
      </c>
      <c r="U50" s="51">
        <v>0.9309118687232909</v>
      </c>
      <c r="V50" s="51">
        <v>0.88231231943195743</v>
      </c>
      <c r="W50" s="51">
        <v>0.89857038871583872</v>
      </c>
      <c r="X50" s="51">
        <v>0.9443728402126208</v>
      </c>
      <c r="Y50" s="51">
        <v>0.92195247426178839</v>
      </c>
      <c r="Z50" s="51">
        <v>0.93827214996145014</v>
      </c>
      <c r="AA50" s="51">
        <v>0.96459003384787789</v>
      </c>
      <c r="AB50" s="51">
        <v>0.95915855305045972</v>
      </c>
      <c r="AC50" s="51">
        <v>0.94632040500663706</v>
      </c>
      <c r="AD50" s="51">
        <v>0.93120281271332761</v>
      </c>
      <c r="AE50" s="51">
        <v>0.94315108060081043</v>
      </c>
      <c r="AF50" s="51">
        <v>0.94745373979395198</v>
      </c>
      <c r="AG50" s="51">
        <v>0.98969954612930222</v>
      </c>
      <c r="AH50" s="51">
        <v>0.98602203144507805</v>
      </c>
      <c r="AI50" s="51">
        <v>1.0000000000000002</v>
      </c>
      <c r="AJ50" s="51">
        <v>1.0000000000000002</v>
      </c>
      <c r="AK50" s="51">
        <v>0.99780758016787563</v>
      </c>
      <c r="AL50" s="51">
        <v>1.0000000000000002</v>
      </c>
      <c r="AM50" s="51">
        <v>0.98893708716776574</v>
      </c>
      <c r="AN50" s="51">
        <v>0.989742457107879</v>
      </c>
      <c r="AO50" s="51">
        <v>1.0000000000000002</v>
      </c>
      <c r="AP50" s="51">
        <v>0.99628677715044922</v>
      </c>
      <c r="AQ50" s="51">
        <v>1.0000000000000002</v>
      </c>
      <c r="AR50" s="51">
        <v>1.0000000000000002</v>
      </c>
      <c r="AS50" s="51">
        <v>1.0000000000000002</v>
      </c>
      <c r="AT50" s="51">
        <v>0.99624071845469186</v>
      </c>
      <c r="AU50" s="51">
        <v>1.0000000000000002</v>
      </c>
      <c r="AV50" s="51">
        <v>1.0000000000000002</v>
      </c>
      <c r="AW50" s="51">
        <v>1.0000000000000002</v>
      </c>
      <c r="AX50" s="51">
        <v>1.0000000000000002</v>
      </c>
      <c r="AY50" s="51">
        <v>1.0000000000000002</v>
      </c>
      <c r="AZ50" s="51">
        <v>1.0000000000000002</v>
      </c>
      <c r="BA50" s="51"/>
      <c r="BB50" s="51"/>
      <c r="BC50" s="51"/>
    </row>
    <row r="51" spans="5:55" x14ac:dyDescent="0.2">
      <c r="E51">
        <v>2400</v>
      </c>
      <c r="F51" s="51">
        <v>0.77806594435453369</v>
      </c>
      <c r="G51" s="51">
        <v>0.76512329455810035</v>
      </c>
      <c r="H51" s="51">
        <v>0.79395111488227399</v>
      </c>
      <c r="I51" s="51">
        <v>0.77601708518226042</v>
      </c>
      <c r="J51" s="51">
        <v>0.80373721083474226</v>
      </c>
      <c r="K51" s="51">
        <v>0.77054399255916584</v>
      </c>
      <c r="L51" s="51">
        <v>0.8006132385495448</v>
      </c>
      <c r="M51" s="51">
        <v>0.86016250806114003</v>
      </c>
      <c r="N51" s="51">
        <v>0.83770537587536931</v>
      </c>
      <c r="O51" s="51">
        <v>0.85109381772079296</v>
      </c>
      <c r="P51" s="51">
        <v>0.82050948406565949</v>
      </c>
      <c r="Q51" s="51">
        <v>0.82344692159747135</v>
      </c>
      <c r="R51" s="51">
        <v>0.91530725960669568</v>
      </c>
      <c r="S51" s="51">
        <v>0.89770865448203574</v>
      </c>
      <c r="T51" s="51">
        <v>0.89209916636839037</v>
      </c>
      <c r="U51" s="51">
        <v>0.8858946535346448</v>
      </c>
      <c r="V51" s="51">
        <v>0.92387139954601194</v>
      </c>
      <c r="W51" s="51">
        <v>0.92020775310344483</v>
      </c>
      <c r="X51" s="51">
        <v>0.94061518776913999</v>
      </c>
      <c r="Y51" s="51">
        <v>0.92964620878909154</v>
      </c>
      <c r="Z51" s="51">
        <v>0.96069222271247723</v>
      </c>
      <c r="AA51" s="51">
        <v>0.95983374479428041</v>
      </c>
      <c r="AB51" s="51">
        <v>0.9645453404952401</v>
      </c>
      <c r="AC51" s="51">
        <v>0.95961395955015194</v>
      </c>
      <c r="AD51" s="51">
        <v>0.94486878204949587</v>
      </c>
      <c r="AE51" s="51">
        <v>0.9495084582780785</v>
      </c>
      <c r="AF51" s="51">
        <v>0.93874085488766179</v>
      </c>
      <c r="AG51" s="51">
        <v>0.95974532787892741</v>
      </c>
      <c r="AH51" s="51">
        <v>0.96025543078862563</v>
      </c>
      <c r="AI51" s="51">
        <v>0.97580593087447121</v>
      </c>
      <c r="AJ51" s="51">
        <v>1.0000000000000002</v>
      </c>
      <c r="AK51" s="51">
        <v>0.99923338233368608</v>
      </c>
      <c r="AL51" s="51">
        <v>0.98884948825533037</v>
      </c>
      <c r="AM51" s="51">
        <v>1.0000000000000002</v>
      </c>
      <c r="AN51" s="51">
        <v>1.0000000000000002</v>
      </c>
      <c r="AO51" s="51">
        <v>1.0000000000000002</v>
      </c>
      <c r="AP51" s="51">
        <v>1.0000000000000002</v>
      </c>
      <c r="AQ51" s="51">
        <v>1.0000000000000002</v>
      </c>
      <c r="AR51" s="51">
        <v>0.99720367033961155</v>
      </c>
      <c r="AS51" s="51">
        <v>1.0000000000000002</v>
      </c>
      <c r="AT51" s="51">
        <v>0.99806999638933425</v>
      </c>
      <c r="AU51" s="51">
        <v>1.0000000000000002</v>
      </c>
      <c r="AV51" s="51">
        <v>1.0000000000000002</v>
      </c>
      <c r="AW51" s="51">
        <v>1.0000000000000002</v>
      </c>
      <c r="AX51" s="51">
        <v>1.0000000000000002</v>
      </c>
      <c r="AY51" s="51">
        <v>0.9988227008564774</v>
      </c>
      <c r="AZ51" s="51">
        <v>1.0000000000000002</v>
      </c>
      <c r="BA51" s="51">
        <v>1.0000000000000002</v>
      </c>
      <c r="BB51" s="51"/>
      <c r="BC51" s="51"/>
    </row>
    <row r="52" spans="5:55" x14ac:dyDescent="0.2">
      <c r="E52">
        <v>2450</v>
      </c>
      <c r="F52" s="51">
        <v>0.78760261605411241</v>
      </c>
      <c r="G52" s="51">
        <v>0.77367253044988715</v>
      </c>
      <c r="H52" s="51">
        <v>0.78871429398893111</v>
      </c>
      <c r="I52" s="51">
        <v>0.80087490538421413</v>
      </c>
      <c r="J52" s="51">
        <v>0.83950510250719013</v>
      </c>
      <c r="K52" s="51">
        <v>0.78744504337089649</v>
      </c>
      <c r="L52" s="51">
        <v>0.81491769451589857</v>
      </c>
      <c r="M52" s="51">
        <v>0.80417189386592669</v>
      </c>
      <c r="N52" s="51">
        <v>0.86141609167237321</v>
      </c>
      <c r="O52" s="51">
        <v>0.82216707572963255</v>
      </c>
      <c r="P52" s="51">
        <v>0.90005882430111439</v>
      </c>
      <c r="Q52" s="51">
        <v>0.84075684887347157</v>
      </c>
      <c r="R52" s="51">
        <v>0.86392883049112934</v>
      </c>
      <c r="S52" s="51">
        <v>0.87679518676379109</v>
      </c>
      <c r="T52" s="51">
        <v>0.93095032707736236</v>
      </c>
      <c r="U52" s="51">
        <v>0.8738847297425496</v>
      </c>
      <c r="V52" s="51">
        <v>0.91165364900968815</v>
      </c>
      <c r="W52" s="51">
        <v>0.88010110177497414</v>
      </c>
      <c r="X52" s="51">
        <v>0.9196762321844888</v>
      </c>
      <c r="Y52" s="51">
        <v>0.95369020977248331</v>
      </c>
      <c r="Z52" s="51">
        <v>0.93412518414969514</v>
      </c>
      <c r="AA52" s="51">
        <v>0.96505576854574993</v>
      </c>
      <c r="AB52" s="51">
        <v>0.93665848515544547</v>
      </c>
      <c r="AC52" s="51">
        <v>0.95148700546621179</v>
      </c>
      <c r="AD52" s="51">
        <v>0.94852119922853573</v>
      </c>
      <c r="AE52" s="51">
        <v>0.95390005074883788</v>
      </c>
      <c r="AF52" s="51">
        <v>0.95152007774526925</v>
      </c>
      <c r="AG52" s="51">
        <v>0.97332852831991734</v>
      </c>
      <c r="AH52" s="51">
        <v>0.99568649324922665</v>
      </c>
      <c r="AI52" s="51">
        <v>0.99694385641556937</v>
      </c>
      <c r="AJ52" s="51">
        <v>0.9930471417881066</v>
      </c>
      <c r="AK52" s="51">
        <v>0.97578804804063513</v>
      </c>
      <c r="AL52" s="51">
        <v>0.99225633193764951</v>
      </c>
      <c r="AM52" s="51">
        <v>1.0000000000000002</v>
      </c>
      <c r="AN52" s="51">
        <v>1.0000000000000002</v>
      </c>
      <c r="AO52" s="51">
        <v>1.0000000000000002</v>
      </c>
      <c r="AP52" s="51">
        <v>1.0000000000000002</v>
      </c>
      <c r="AQ52" s="51">
        <v>1.0000000000000002</v>
      </c>
      <c r="AR52" s="51">
        <v>1.0000000000000002</v>
      </c>
      <c r="AS52" s="51">
        <v>0.99583478926331459</v>
      </c>
      <c r="AT52" s="51">
        <v>1.0000000000000002</v>
      </c>
      <c r="AU52" s="51">
        <v>1.0000000000000002</v>
      </c>
      <c r="AV52" s="51">
        <v>0.99397351421192115</v>
      </c>
      <c r="AW52" s="51">
        <v>1.0000000000000002</v>
      </c>
      <c r="AX52" s="51">
        <v>1.0000000000000002</v>
      </c>
      <c r="AY52" s="51">
        <v>1.0000000000000002</v>
      </c>
      <c r="AZ52" s="51">
        <v>1.0000000000000002</v>
      </c>
      <c r="BA52" s="51">
        <v>1.0000000000000002</v>
      </c>
      <c r="BB52" s="51">
        <v>1.0000000000000002</v>
      </c>
      <c r="BC52" s="51"/>
    </row>
    <row r="53" spans="5:55" x14ac:dyDescent="0.2">
      <c r="E53">
        <v>2500</v>
      </c>
      <c r="F53" s="51">
        <v>0.74541744468100601</v>
      </c>
      <c r="G53" s="51">
        <v>0.81878212292789709</v>
      </c>
      <c r="H53" s="51">
        <v>0.80452342919556363</v>
      </c>
      <c r="I53" s="51">
        <v>0.79917008640706466</v>
      </c>
      <c r="J53" s="51">
        <v>0.79888919373023093</v>
      </c>
      <c r="K53" s="51">
        <v>0.79075420667779694</v>
      </c>
      <c r="L53" s="51">
        <v>0.8380656434417213</v>
      </c>
      <c r="M53" s="51">
        <v>0.83139760593756362</v>
      </c>
      <c r="N53" s="51">
        <v>0.80332224705048338</v>
      </c>
      <c r="O53" s="51">
        <v>0.87495077724525894</v>
      </c>
      <c r="P53" s="51">
        <v>0.8391056221187021</v>
      </c>
      <c r="Q53" s="51">
        <v>0.87486170090672044</v>
      </c>
      <c r="R53" s="51">
        <v>0.88085113674243387</v>
      </c>
      <c r="S53" s="51">
        <v>0.92515098711699539</v>
      </c>
      <c r="T53" s="51">
        <v>0.89519735749597973</v>
      </c>
      <c r="U53" s="51">
        <v>0.92731492673113114</v>
      </c>
      <c r="V53" s="51">
        <v>0.89407017052655091</v>
      </c>
      <c r="W53" s="51">
        <v>0.94384187353952509</v>
      </c>
      <c r="X53" s="51">
        <v>0.91806421134323024</v>
      </c>
      <c r="Y53" s="51">
        <v>0.94289922929696457</v>
      </c>
      <c r="Z53" s="51">
        <v>0.94535799769373519</v>
      </c>
      <c r="AA53" s="51">
        <v>0.95536466116508179</v>
      </c>
      <c r="AB53" s="51">
        <v>0.97879574960206051</v>
      </c>
      <c r="AC53" s="51">
        <v>0.9696772413108431</v>
      </c>
      <c r="AD53" s="51">
        <v>0.98117629360635872</v>
      </c>
      <c r="AE53" s="51">
        <v>0.97721992904521426</v>
      </c>
      <c r="AF53" s="51">
        <v>0.95050348201899415</v>
      </c>
      <c r="AG53" s="51">
        <v>0.97921127835033073</v>
      </c>
      <c r="AH53" s="51">
        <v>0.99676286196018693</v>
      </c>
      <c r="AI53" s="51">
        <v>0.95842268373272943</v>
      </c>
      <c r="AJ53" s="51">
        <v>1.0000000000000002</v>
      </c>
      <c r="AK53" s="51">
        <v>0.98128278890622112</v>
      </c>
      <c r="AL53" s="51">
        <v>0.99702744603918436</v>
      </c>
      <c r="AM53" s="51">
        <v>0.96921254668930823</v>
      </c>
      <c r="AN53" s="51">
        <v>1.0000000000000002</v>
      </c>
      <c r="AO53" s="51">
        <v>1.0000000000000002</v>
      </c>
      <c r="AP53" s="51">
        <v>0.99292454789132711</v>
      </c>
      <c r="AQ53" s="51">
        <v>1.0000000000000002</v>
      </c>
      <c r="AR53" s="51">
        <v>1.0000000000000002</v>
      </c>
      <c r="AS53" s="51">
        <v>1.0000000000000002</v>
      </c>
      <c r="AT53" s="51">
        <v>1.0000000000000002</v>
      </c>
      <c r="AU53" s="51">
        <v>1.0000000000000002</v>
      </c>
      <c r="AV53" s="51">
        <v>1.0000000000000002</v>
      </c>
      <c r="AW53" s="51">
        <v>1.0000000000000002</v>
      </c>
      <c r="AX53" s="51">
        <v>1.0000000000000002</v>
      </c>
      <c r="AY53" s="51">
        <v>1.0000000000000002</v>
      </c>
      <c r="AZ53" s="51">
        <v>1.0000000000000002</v>
      </c>
      <c r="BA53" s="51">
        <v>1.0000000000000002</v>
      </c>
      <c r="BB53" s="51">
        <v>1.0000000000000002</v>
      </c>
      <c r="BC53" s="51">
        <v>1.0000000000000002</v>
      </c>
    </row>
  </sheetData>
  <conditionalFormatting sqref="F4:CG83">
    <cfRule type="top10" dxfId="2" priority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imulate.Simulate" altText="Simulação - Taxa de Serviço">
                <anchor moveWithCells="1" sizeWithCells="1">
                  <from>
                    <xdr:col>0</xdr:col>
                    <xdr:colOff>787400</xdr:colOff>
                    <xdr:row>6</xdr:row>
                    <xdr:rowOff>152400</xdr:rowOff>
                  </from>
                  <to>
                    <xdr:col>2</xdr:col>
                    <xdr:colOff>723900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DD4F-B622-4B47-BD11-9E397D7D1D06}">
  <sheetPr codeName="Sheet4"/>
  <dimension ref="A2:BC54"/>
  <sheetViews>
    <sheetView zoomScale="40" zoomScaleNormal="40" workbookViewId="0">
      <selection activeCell="Z79" sqref="Z79"/>
    </sheetView>
  </sheetViews>
  <sheetFormatPr baseColWidth="10" defaultRowHeight="15" x14ac:dyDescent="0.2"/>
  <cols>
    <col min="6" max="30" width="11.33203125" bestFit="1" customWidth="1"/>
    <col min="31" max="55" width="10.1640625" bestFit="1" customWidth="1"/>
  </cols>
  <sheetData>
    <row r="2" spans="1:55" x14ac:dyDescent="0.2">
      <c r="A2" t="s">
        <v>2</v>
      </c>
      <c r="B2" s="28">
        <v>2500</v>
      </c>
    </row>
    <row r="3" spans="1:55" x14ac:dyDescent="0.2">
      <c r="A3" t="s">
        <v>5</v>
      </c>
      <c r="B3">
        <v>2500</v>
      </c>
      <c r="D3" t="s">
        <v>53</v>
      </c>
      <c r="F3">
        <v>50</v>
      </c>
      <c r="G3">
        <v>100</v>
      </c>
      <c r="H3">
        <v>150</v>
      </c>
      <c r="I3">
        <v>200</v>
      </c>
      <c r="J3">
        <v>250</v>
      </c>
      <c r="K3">
        <v>300</v>
      </c>
      <c r="L3">
        <v>350</v>
      </c>
      <c r="M3">
        <v>400</v>
      </c>
      <c r="N3">
        <v>450</v>
      </c>
      <c r="O3">
        <v>500</v>
      </c>
      <c r="P3">
        <v>550</v>
      </c>
      <c r="Q3">
        <v>600</v>
      </c>
      <c r="R3">
        <v>650</v>
      </c>
      <c r="S3">
        <v>700</v>
      </c>
      <c r="T3">
        <v>750</v>
      </c>
      <c r="U3">
        <v>800</v>
      </c>
      <c r="V3">
        <v>850</v>
      </c>
      <c r="W3">
        <v>900</v>
      </c>
      <c r="X3">
        <v>950</v>
      </c>
      <c r="Y3">
        <v>1000</v>
      </c>
      <c r="Z3">
        <v>1050</v>
      </c>
      <c r="AA3">
        <v>1100</v>
      </c>
      <c r="AB3">
        <v>1150</v>
      </c>
      <c r="AC3">
        <v>1200</v>
      </c>
      <c r="AD3">
        <v>1250</v>
      </c>
      <c r="AE3">
        <v>1300</v>
      </c>
      <c r="AF3">
        <v>1350</v>
      </c>
      <c r="AG3">
        <v>1400</v>
      </c>
      <c r="AH3">
        <v>1450</v>
      </c>
      <c r="AI3">
        <v>1500</v>
      </c>
      <c r="AJ3">
        <v>1550</v>
      </c>
      <c r="AK3">
        <v>1600</v>
      </c>
      <c r="AL3">
        <v>1650</v>
      </c>
      <c r="AM3">
        <v>1700</v>
      </c>
      <c r="AN3">
        <v>1750</v>
      </c>
      <c r="AO3">
        <v>1800</v>
      </c>
      <c r="AP3">
        <v>1850</v>
      </c>
      <c r="AQ3">
        <v>1900</v>
      </c>
      <c r="AR3">
        <v>1950</v>
      </c>
      <c r="AS3">
        <v>2000</v>
      </c>
      <c r="AT3">
        <v>2050</v>
      </c>
      <c r="AU3">
        <v>2100</v>
      </c>
      <c r="AV3">
        <v>2150</v>
      </c>
      <c r="AW3">
        <v>2200</v>
      </c>
      <c r="AX3">
        <v>2250</v>
      </c>
      <c r="AY3">
        <v>2300</v>
      </c>
      <c r="AZ3">
        <v>2350</v>
      </c>
      <c r="BA3">
        <v>2400</v>
      </c>
      <c r="BB3">
        <v>2450</v>
      </c>
      <c r="BC3">
        <v>2500</v>
      </c>
    </row>
    <row r="4" spans="1:55" x14ac:dyDescent="0.2">
      <c r="D4" s="52">
        <f ca="1">'Modelo de Simulação'!R49</f>
        <v>59137.65013987133</v>
      </c>
      <c r="E4">
        <v>50</v>
      </c>
      <c r="F4" s="51">
        <v>585689.82506005012</v>
      </c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1"/>
      <c r="BC4" s="51"/>
    </row>
    <row r="5" spans="1:55" x14ac:dyDescent="0.2">
      <c r="E5">
        <v>100</v>
      </c>
      <c r="F5" s="51">
        <v>557562.00734410796</v>
      </c>
      <c r="G5" s="51">
        <v>564423.45967710239</v>
      </c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</row>
    <row r="6" spans="1:55" x14ac:dyDescent="0.2">
      <c r="E6">
        <v>150</v>
      </c>
      <c r="F6" s="51">
        <v>519933.91468538868</v>
      </c>
      <c r="G6" s="51">
        <v>525318.27499913448</v>
      </c>
      <c r="H6" s="51">
        <v>520299.84584469482</v>
      </c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</row>
    <row r="7" spans="1:55" x14ac:dyDescent="0.2">
      <c r="E7">
        <v>200</v>
      </c>
      <c r="F7" s="51">
        <v>485491.85626010405</v>
      </c>
      <c r="G7" s="51">
        <v>491715.5481269962</v>
      </c>
      <c r="H7" s="51">
        <v>495357.5938358641</v>
      </c>
      <c r="I7" s="51">
        <v>480708.07239453559</v>
      </c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</row>
    <row r="8" spans="1:55" x14ac:dyDescent="0.2">
      <c r="E8">
        <v>250</v>
      </c>
      <c r="F8" s="51">
        <v>448730.73860475695</v>
      </c>
      <c r="G8" s="51">
        <v>459392.57096362114</v>
      </c>
      <c r="H8" s="51">
        <v>460342.95429979439</v>
      </c>
      <c r="I8" s="51">
        <v>453526.89021861448</v>
      </c>
      <c r="J8" s="51">
        <v>467559.2646846901</v>
      </c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</row>
    <row r="9" spans="1:55" x14ac:dyDescent="0.2">
      <c r="E9">
        <v>300</v>
      </c>
      <c r="F9" s="51">
        <v>414801.38143364608</v>
      </c>
      <c r="G9" s="51">
        <v>425836.89945141511</v>
      </c>
      <c r="H9" s="51">
        <v>421255.25784956588</v>
      </c>
      <c r="I9" s="51">
        <v>431718.66375053249</v>
      </c>
      <c r="J9" s="51">
        <v>412444.51931593107</v>
      </c>
      <c r="K9" s="51">
        <v>414808.7644765944</v>
      </c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</row>
    <row r="10" spans="1:55" x14ac:dyDescent="0.2">
      <c r="E10">
        <v>350</v>
      </c>
      <c r="F10" s="51">
        <v>404364.38220200228</v>
      </c>
      <c r="G10" s="51">
        <v>395369.06020523602</v>
      </c>
      <c r="H10" s="51">
        <v>397001.04751808732</v>
      </c>
      <c r="I10" s="51">
        <v>394646.0433248668</v>
      </c>
      <c r="J10" s="51">
        <v>401772.01541093562</v>
      </c>
      <c r="K10" s="51">
        <v>391568.41813794005</v>
      </c>
      <c r="L10" s="51">
        <v>402442.18381018628</v>
      </c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</row>
    <row r="11" spans="1:55" x14ac:dyDescent="0.2">
      <c r="E11">
        <v>400</v>
      </c>
      <c r="F11" s="51">
        <v>379333.12961286714</v>
      </c>
      <c r="G11" s="51">
        <v>378941.66776569723</v>
      </c>
      <c r="H11" s="51">
        <v>372254.10325215058</v>
      </c>
      <c r="I11" s="51">
        <v>369013.85698559508</v>
      </c>
      <c r="J11" s="51">
        <v>354895.75347178313</v>
      </c>
      <c r="K11" s="51">
        <v>360979.09328312764</v>
      </c>
      <c r="L11" s="51">
        <v>353739.99646367843</v>
      </c>
      <c r="M11" s="51">
        <v>364114.52924698195</v>
      </c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</row>
    <row r="12" spans="1:55" x14ac:dyDescent="0.2">
      <c r="E12">
        <v>450</v>
      </c>
      <c r="F12" s="51">
        <v>381746.19486931921</v>
      </c>
      <c r="G12" s="51">
        <v>350065.16440176108</v>
      </c>
      <c r="H12" s="51">
        <v>350414.66245914873</v>
      </c>
      <c r="I12" s="51">
        <v>342610.55936095648</v>
      </c>
      <c r="J12" s="51">
        <v>338298.18649056403</v>
      </c>
      <c r="K12" s="51">
        <v>337319.13240236702</v>
      </c>
      <c r="L12" s="51">
        <v>343071.93869274831</v>
      </c>
      <c r="M12" s="51">
        <v>344681.52360853425</v>
      </c>
      <c r="N12" s="51">
        <v>336593.44533529942</v>
      </c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</row>
    <row r="13" spans="1:55" x14ac:dyDescent="0.2">
      <c r="E13">
        <v>500</v>
      </c>
      <c r="F13" s="51">
        <v>372302.37684440752</v>
      </c>
      <c r="G13" s="51">
        <v>367424.52874322631</v>
      </c>
      <c r="H13" s="51">
        <v>323041.49437508942</v>
      </c>
      <c r="I13" s="51">
        <v>338270.02569720044</v>
      </c>
      <c r="J13" s="51">
        <v>335268.11035944853</v>
      </c>
      <c r="K13" s="51">
        <v>320546.40163477726</v>
      </c>
      <c r="L13" s="51">
        <v>307983.09128646209</v>
      </c>
      <c r="M13" s="51">
        <v>310049.07516834256</v>
      </c>
      <c r="N13" s="51">
        <v>319296.84475945635</v>
      </c>
      <c r="O13" s="51">
        <v>315866.8078940658</v>
      </c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</row>
    <row r="14" spans="1:55" x14ac:dyDescent="0.2">
      <c r="E14">
        <v>550</v>
      </c>
      <c r="F14" s="51">
        <v>332402.57512884133</v>
      </c>
      <c r="G14" s="51">
        <v>329248.28956190887</v>
      </c>
      <c r="H14" s="51">
        <v>361212.89303908468</v>
      </c>
      <c r="I14" s="51">
        <v>324959.17130932224</v>
      </c>
      <c r="J14" s="51">
        <v>296378.9787045499</v>
      </c>
      <c r="K14" s="51">
        <v>294379.44380074396</v>
      </c>
      <c r="L14" s="51">
        <v>306189.03616795084</v>
      </c>
      <c r="M14" s="51">
        <v>308695.13084813644</v>
      </c>
      <c r="N14" s="51">
        <v>296911.37887484458</v>
      </c>
      <c r="O14" s="51">
        <v>300523.70232362882</v>
      </c>
      <c r="P14" s="51">
        <v>293455.92602288007</v>
      </c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</row>
    <row r="15" spans="1:55" x14ac:dyDescent="0.2">
      <c r="E15">
        <v>600</v>
      </c>
      <c r="F15" s="51">
        <v>368560.94363263826</v>
      </c>
      <c r="G15" s="51">
        <v>338572.79936387303</v>
      </c>
      <c r="H15" s="51">
        <v>316056.07337277278</v>
      </c>
      <c r="I15" s="51">
        <v>283506.59895464277</v>
      </c>
      <c r="J15" s="51">
        <v>285275.40542659786</v>
      </c>
      <c r="K15" s="51">
        <v>284922.39101054519</v>
      </c>
      <c r="L15" s="51">
        <v>277355.5382631247</v>
      </c>
      <c r="M15" s="51">
        <v>289241.20620878693</v>
      </c>
      <c r="N15" s="51">
        <v>276444.74374280754</v>
      </c>
      <c r="O15" s="51">
        <v>275205.54892552027</v>
      </c>
      <c r="P15" s="51">
        <v>277655.58718522231</v>
      </c>
      <c r="Q15" s="51">
        <v>281875.84473189263</v>
      </c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</row>
    <row r="16" spans="1:55" x14ac:dyDescent="0.2">
      <c r="E16">
        <v>650</v>
      </c>
      <c r="F16" s="51">
        <v>313257.17642811051</v>
      </c>
      <c r="G16" s="51">
        <v>350685.53204409056</v>
      </c>
      <c r="H16" s="51">
        <v>291777.2163394331</v>
      </c>
      <c r="I16" s="51">
        <v>321784.28194163868</v>
      </c>
      <c r="J16" s="51">
        <v>299569.58101976546</v>
      </c>
      <c r="K16" s="51">
        <v>282790.91184714582</v>
      </c>
      <c r="L16" s="51">
        <v>264728.30004972848</v>
      </c>
      <c r="M16" s="51">
        <v>257818.48920976551</v>
      </c>
      <c r="N16" s="51">
        <v>285308.17784761585</v>
      </c>
      <c r="O16" s="51">
        <v>263756.69098282093</v>
      </c>
      <c r="P16" s="51">
        <v>273282.07925640314</v>
      </c>
      <c r="Q16" s="51">
        <v>262502.29045457073</v>
      </c>
      <c r="R16" s="51">
        <v>257547.05986828709</v>
      </c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</row>
    <row r="17" spans="5:55" x14ac:dyDescent="0.2">
      <c r="E17">
        <v>700</v>
      </c>
      <c r="F17" s="51">
        <v>302296.26218673092</v>
      </c>
      <c r="G17" s="51">
        <v>310838.02844519942</v>
      </c>
      <c r="H17" s="51">
        <v>316919.96309749817</v>
      </c>
      <c r="I17" s="51">
        <v>312288.23889173637</v>
      </c>
      <c r="J17" s="51">
        <v>265679.21208858542</v>
      </c>
      <c r="K17" s="51">
        <v>241628.45986144897</v>
      </c>
      <c r="L17" s="51">
        <v>268800.99960431963</v>
      </c>
      <c r="M17" s="51">
        <v>236925.04937249536</v>
      </c>
      <c r="N17" s="51">
        <v>248843.32610108412</v>
      </c>
      <c r="O17" s="51">
        <v>266650.63785212691</v>
      </c>
      <c r="P17" s="51">
        <v>258996.65674684584</v>
      </c>
      <c r="Q17" s="51">
        <v>256421.3940384296</v>
      </c>
      <c r="R17" s="51">
        <v>243584.20757879133</v>
      </c>
      <c r="S17" s="51">
        <v>231117.68298641915</v>
      </c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</row>
    <row r="18" spans="5:55" x14ac:dyDescent="0.2">
      <c r="E18">
        <v>750</v>
      </c>
      <c r="F18" s="51">
        <v>338430.28251869971</v>
      </c>
      <c r="G18" s="51">
        <v>263662.17607809807</v>
      </c>
      <c r="H18" s="51">
        <v>311414.68358814262</v>
      </c>
      <c r="I18" s="51">
        <v>295959.85511195922</v>
      </c>
      <c r="J18" s="51">
        <v>262558.52251294209</v>
      </c>
      <c r="K18" s="51">
        <v>274062.60600238474</v>
      </c>
      <c r="L18" s="51">
        <v>250756.65378770226</v>
      </c>
      <c r="M18" s="51">
        <v>230933.48046254268</v>
      </c>
      <c r="N18" s="51">
        <v>232033.16017712333</v>
      </c>
      <c r="O18" s="51">
        <v>229282.70761384841</v>
      </c>
      <c r="P18" s="51">
        <v>245960.16724380755</v>
      </c>
      <c r="Q18" s="51">
        <v>230524.47136618991</v>
      </c>
      <c r="R18" s="51">
        <v>223055.30538854221</v>
      </c>
      <c r="S18" s="51">
        <v>241187.70216178909</v>
      </c>
      <c r="T18" s="51">
        <v>244181.7712699296</v>
      </c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</row>
    <row r="19" spans="5:55" x14ac:dyDescent="0.2">
      <c r="E19">
        <v>800</v>
      </c>
      <c r="F19" s="51">
        <v>315289.73245054943</v>
      </c>
      <c r="G19" s="51">
        <v>314108.95796680474</v>
      </c>
      <c r="H19" s="51">
        <v>235352.27012186591</v>
      </c>
      <c r="I19" s="51">
        <v>308131.19481397344</v>
      </c>
      <c r="J19" s="51">
        <v>292320.41092275595</v>
      </c>
      <c r="K19" s="51">
        <v>228209.23566596254</v>
      </c>
      <c r="L19" s="51">
        <v>284035.3323202348</v>
      </c>
      <c r="M19" s="51">
        <v>243323.55255129733</v>
      </c>
      <c r="N19" s="51">
        <v>224390.80076661395</v>
      </c>
      <c r="O19" s="51">
        <v>229216.53885534476</v>
      </c>
      <c r="P19" s="51">
        <v>235397.18005414816</v>
      </c>
      <c r="Q19" s="51">
        <v>224537.86261912488</v>
      </c>
      <c r="R19" s="51">
        <v>192759.03233403247</v>
      </c>
      <c r="S19" s="51">
        <v>220738.15039124727</v>
      </c>
      <c r="T19" s="51">
        <v>217720.18969667776</v>
      </c>
      <c r="U19" s="51">
        <v>210943.59010292459</v>
      </c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</row>
    <row r="20" spans="5:55" x14ac:dyDescent="0.2">
      <c r="E20">
        <v>850</v>
      </c>
      <c r="F20" s="51">
        <v>297396.91167981428</v>
      </c>
      <c r="G20" s="51">
        <v>293556.52489269071</v>
      </c>
      <c r="H20" s="51">
        <v>243150.86951002904</v>
      </c>
      <c r="I20" s="51">
        <v>307105.53119760967</v>
      </c>
      <c r="J20" s="51">
        <v>284618.00667738926</v>
      </c>
      <c r="K20" s="51">
        <v>245997.35461166422</v>
      </c>
      <c r="L20" s="51">
        <v>282374.52684189985</v>
      </c>
      <c r="M20" s="51">
        <v>242265.87423461588</v>
      </c>
      <c r="N20" s="51">
        <v>197066.55866203361</v>
      </c>
      <c r="O20" s="51">
        <v>223464.64310565792</v>
      </c>
      <c r="P20" s="51">
        <v>200586.34881874628</v>
      </c>
      <c r="Q20" s="51">
        <v>195288.47974278082</v>
      </c>
      <c r="R20" s="51">
        <v>185590.87208715739</v>
      </c>
      <c r="S20" s="51">
        <v>205398.35510071859</v>
      </c>
      <c r="T20" s="51">
        <v>192490.36344179619</v>
      </c>
      <c r="U20" s="51">
        <v>179658.39671597985</v>
      </c>
      <c r="V20" s="51">
        <v>209320.77735892381</v>
      </c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</row>
    <row r="21" spans="5:55" x14ac:dyDescent="0.2">
      <c r="E21">
        <v>900</v>
      </c>
      <c r="F21" s="51">
        <v>281568.05642602703</v>
      </c>
      <c r="G21" s="51">
        <v>273976.97870958492</v>
      </c>
      <c r="H21" s="51">
        <v>207417.67465248684</v>
      </c>
      <c r="I21" s="51">
        <v>289851.94274307921</v>
      </c>
      <c r="J21" s="51">
        <v>285160.69966323994</v>
      </c>
      <c r="K21" s="51">
        <v>276035.57316435029</v>
      </c>
      <c r="L21" s="51">
        <v>271429.61770916899</v>
      </c>
      <c r="M21" s="51">
        <v>257837.92091629372</v>
      </c>
      <c r="N21" s="51">
        <v>204330.32572552856</v>
      </c>
      <c r="O21" s="51">
        <v>244868.3221314844</v>
      </c>
      <c r="P21" s="51">
        <v>211050.88614555879</v>
      </c>
      <c r="Q21" s="51">
        <v>192445.10224114708</v>
      </c>
      <c r="R21" s="51">
        <v>187833.85057982674</v>
      </c>
      <c r="S21" s="51">
        <v>188837.18793296945</v>
      </c>
      <c r="T21" s="51">
        <v>200097.9736635063</v>
      </c>
      <c r="U21" s="51">
        <v>190243.00857550773</v>
      </c>
      <c r="V21" s="51">
        <v>177683.33798919365</v>
      </c>
      <c r="W21" s="51">
        <v>194450.49889459138</v>
      </c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</row>
    <row r="22" spans="5:55" x14ac:dyDescent="0.2">
      <c r="E22">
        <v>950</v>
      </c>
      <c r="F22" s="51">
        <v>234576.2357752297</v>
      </c>
      <c r="G22" s="51">
        <v>270535.76372624451</v>
      </c>
      <c r="H22" s="51">
        <v>260832.42999726138</v>
      </c>
      <c r="I22" s="51">
        <v>268682.15989465005</v>
      </c>
      <c r="J22" s="51">
        <v>291295.02783609269</v>
      </c>
      <c r="K22" s="51">
        <v>284935.69098118087</v>
      </c>
      <c r="L22" s="51">
        <v>215422.38885144668</v>
      </c>
      <c r="M22" s="51">
        <v>197791.49608579907</v>
      </c>
      <c r="N22" s="51">
        <v>208495.6791215851</v>
      </c>
      <c r="O22" s="51">
        <v>173040.01356811865</v>
      </c>
      <c r="P22" s="51">
        <v>173162.96336909151</v>
      </c>
      <c r="Q22" s="51">
        <v>168826.3783913363</v>
      </c>
      <c r="R22" s="51">
        <v>179225.22407455614</v>
      </c>
      <c r="S22" s="51">
        <v>207005.79676296696</v>
      </c>
      <c r="T22" s="51">
        <v>180874.46111275323</v>
      </c>
      <c r="U22" s="51">
        <v>173581.07959425205</v>
      </c>
      <c r="V22" s="51">
        <v>179201.05044449377</v>
      </c>
      <c r="W22" s="51">
        <v>176586.16974371782</v>
      </c>
      <c r="X22" s="51">
        <v>166565.53118275193</v>
      </c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</row>
    <row r="23" spans="5:55" x14ac:dyDescent="0.2">
      <c r="E23">
        <v>1000</v>
      </c>
      <c r="F23" s="51">
        <v>285434.93522787991</v>
      </c>
      <c r="G23" s="51">
        <v>261171.33305901935</v>
      </c>
      <c r="H23" s="51">
        <v>246424.2532584423</v>
      </c>
      <c r="I23" s="51">
        <v>244937.56493811239</v>
      </c>
      <c r="J23" s="51">
        <v>254395.98913996667</v>
      </c>
      <c r="K23" s="51">
        <v>231795.93391788678</v>
      </c>
      <c r="L23" s="51">
        <v>233845.32903987734</v>
      </c>
      <c r="M23" s="51">
        <v>203823.34488063431</v>
      </c>
      <c r="N23" s="51">
        <v>178753.85726699798</v>
      </c>
      <c r="O23" s="51">
        <v>205398.31193537035</v>
      </c>
      <c r="P23" s="51">
        <v>185389.68711746222</v>
      </c>
      <c r="Q23" s="51">
        <v>179798.91350662883</v>
      </c>
      <c r="R23" s="51">
        <v>159911.88303587105</v>
      </c>
      <c r="S23" s="51">
        <v>170662.23719289605</v>
      </c>
      <c r="T23" s="51">
        <v>158096.99528466415</v>
      </c>
      <c r="U23" s="51">
        <v>168943.9090939014</v>
      </c>
      <c r="V23" s="51">
        <v>165583.11627257639</v>
      </c>
      <c r="W23" s="51">
        <v>159070.5316332363</v>
      </c>
      <c r="X23" s="51">
        <v>144391.57974743858</v>
      </c>
      <c r="Y23" s="51">
        <v>181805.21122525027</v>
      </c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</row>
    <row r="24" spans="5:55" x14ac:dyDescent="0.2">
      <c r="E24">
        <v>1050</v>
      </c>
      <c r="F24" s="51">
        <v>253432.99083350666</v>
      </c>
      <c r="G24" s="51">
        <v>256309.83298862563</v>
      </c>
      <c r="H24" s="51">
        <v>243777.00645220251</v>
      </c>
      <c r="I24" s="51">
        <v>241661.77898042896</v>
      </c>
      <c r="J24" s="51">
        <v>243294.16810655888</v>
      </c>
      <c r="K24" s="51">
        <v>225445.55859005565</v>
      </c>
      <c r="L24" s="51">
        <v>174047.58604363425</v>
      </c>
      <c r="M24" s="51">
        <v>210285.68297808891</v>
      </c>
      <c r="N24" s="51">
        <v>197995.58956322412</v>
      </c>
      <c r="O24" s="51">
        <v>182819.77269969409</v>
      </c>
      <c r="P24" s="51">
        <v>178469.2113112348</v>
      </c>
      <c r="Q24" s="51">
        <v>168333.41856778282</v>
      </c>
      <c r="R24" s="51">
        <v>175659.53621195539</v>
      </c>
      <c r="S24" s="51">
        <v>170392.97846971845</v>
      </c>
      <c r="T24" s="51">
        <v>174630.46660791614</v>
      </c>
      <c r="U24" s="51">
        <v>146028.55632255567</v>
      </c>
      <c r="V24" s="51">
        <v>148351.771936595</v>
      </c>
      <c r="W24" s="51">
        <v>152412.72291149077</v>
      </c>
      <c r="X24" s="51">
        <v>152620.5474361316</v>
      </c>
      <c r="Y24" s="51">
        <v>148215.49637782807</v>
      </c>
      <c r="Z24" s="51">
        <v>147671.14827490441</v>
      </c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</row>
    <row r="25" spans="5:55" x14ac:dyDescent="0.2">
      <c r="E25">
        <v>1100</v>
      </c>
      <c r="F25" s="51">
        <v>260902.23690778288</v>
      </c>
      <c r="G25" s="51">
        <v>236128.20281893018</v>
      </c>
      <c r="H25" s="51">
        <v>219991.6926360873</v>
      </c>
      <c r="I25" s="51">
        <v>242343.59554711828</v>
      </c>
      <c r="J25" s="51">
        <v>235437.88270600783</v>
      </c>
      <c r="K25" s="51">
        <v>208027.4744399098</v>
      </c>
      <c r="L25" s="51">
        <v>228351.79761460694</v>
      </c>
      <c r="M25" s="51">
        <v>244659.03077310009</v>
      </c>
      <c r="N25" s="51">
        <v>210838.69521616938</v>
      </c>
      <c r="O25" s="51">
        <v>150764.49462188312</v>
      </c>
      <c r="P25" s="51">
        <v>164685.86679095827</v>
      </c>
      <c r="Q25" s="51">
        <v>145949.40360736076</v>
      </c>
      <c r="R25" s="51">
        <v>183364.15424604324</v>
      </c>
      <c r="S25" s="51">
        <v>150686.17998287734</v>
      </c>
      <c r="T25" s="51">
        <v>143882.47460246738</v>
      </c>
      <c r="U25" s="51">
        <v>127381.6214763131</v>
      </c>
      <c r="V25" s="51">
        <v>150471.51374476502</v>
      </c>
      <c r="W25" s="51">
        <v>153194.90064159763</v>
      </c>
      <c r="X25" s="51">
        <v>146220.62218851288</v>
      </c>
      <c r="Y25" s="51">
        <v>159485.36737044583</v>
      </c>
      <c r="Z25" s="51">
        <v>128250.14829960925</v>
      </c>
      <c r="AA25" s="51">
        <v>150160.62252552845</v>
      </c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</row>
    <row r="26" spans="5:55" x14ac:dyDescent="0.2">
      <c r="E26">
        <v>1150</v>
      </c>
      <c r="F26" s="51">
        <v>239914.72960047034</v>
      </c>
      <c r="G26" s="51">
        <v>241603.25590689882</v>
      </c>
      <c r="H26" s="51">
        <v>247977.46911884975</v>
      </c>
      <c r="I26" s="51">
        <v>227928.95860174956</v>
      </c>
      <c r="J26" s="51">
        <v>232330.34037857284</v>
      </c>
      <c r="K26" s="51">
        <v>231441.91628539769</v>
      </c>
      <c r="L26" s="51">
        <v>212026.89471629425</v>
      </c>
      <c r="M26" s="51">
        <v>221630.07576349343</v>
      </c>
      <c r="N26" s="51">
        <v>154824.9589049349</v>
      </c>
      <c r="O26" s="51">
        <v>231988.88266902935</v>
      </c>
      <c r="P26" s="51">
        <v>198642.29569374077</v>
      </c>
      <c r="Q26" s="51">
        <v>181481.0516309618</v>
      </c>
      <c r="R26" s="51">
        <v>169328.57057176525</v>
      </c>
      <c r="S26" s="51">
        <v>178548.03761928558</v>
      </c>
      <c r="T26" s="51">
        <v>142997.93621552529</v>
      </c>
      <c r="U26" s="51">
        <v>128997.02571097296</v>
      </c>
      <c r="V26" s="51">
        <v>114543.04702756093</v>
      </c>
      <c r="W26" s="51">
        <v>128876.05018441533</v>
      </c>
      <c r="X26" s="51">
        <v>141315.13449277054</v>
      </c>
      <c r="Y26" s="51">
        <v>134129.39487141013</v>
      </c>
      <c r="Z26" s="51">
        <v>126554.18490855594</v>
      </c>
      <c r="AA26" s="51">
        <v>137129.45782970355</v>
      </c>
      <c r="AB26" s="51">
        <v>118598.78812099705</v>
      </c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</row>
    <row r="27" spans="5:55" x14ac:dyDescent="0.2">
      <c r="E27">
        <v>1200</v>
      </c>
      <c r="F27" s="51">
        <v>268052.74211486615</v>
      </c>
      <c r="G27" s="51">
        <v>253834.57280203441</v>
      </c>
      <c r="H27" s="51">
        <v>239542.93029484706</v>
      </c>
      <c r="I27" s="51">
        <v>246410.60731296745</v>
      </c>
      <c r="J27" s="51">
        <v>202885.76776012511</v>
      </c>
      <c r="K27" s="51">
        <v>169143.10584642395</v>
      </c>
      <c r="L27" s="51">
        <v>198934.05401344012</v>
      </c>
      <c r="M27" s="51">
        <v>202661.99376283551</v>
      </c>
      <c r="N27" s="51">
        <v>164557.26467174219</v>
      </c>
      <c r="O27" s="51">
        <v>198758.67716609337</v>
      </c>
      <c r="P27" s="51">
        <v>191102.1596115526</v>
      </c>
      <c r="Q27" s="51">
        <v>203865.68526669586</v>
      </c>
      <c r="R27" s="51">
        <v>146800.04442685359</v>
      </c>
      <c r="S27" s="51">
        <v>146546.647987915</v>
      </c>
      <c r="T27" s="51">
        <v>130637.88251517001</v>
      </c>
      <c r="U27" s="51">
        <v>141614.58229381632</v>
      </c>
      <c r="V27" s="51">
        <v>122138.3866570831</v>
      </c>
      <c r="W27" s="51">
        <v>111049.7516177973</v>
      </c>
      <c r="X27" s="51">
        <v>116334.63799069908</v>
      </c>
      <c r="Y27" s="51">
        <v>133181.75803418239</v>
      </c>
      <c r="Z27" s="51">
        <v>113837.51364034759</v>
      </c>
      <c r="AA27" s="51">
        <v>105597.32893770207</v>
      </c>
      <c r="AB27" s="51">
        <v>123955.73212169875</v>
      </c>
      <c r="AC27" s="51">
        <v>118626.54261907267</v>
      </c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</row>
    <row r="28" spans="5:55" x14ac:dyDescent="0.2">
      <c r="E28">
        <v>1250</v>
      </c>
      <c r="F28" s="51">
        <v>248564.72791826742</v>
      </c>
      <c r="G28" s="51">
        <v>228024.13876620916</v>
      </c>
      <c r="H28" s="51">
        <v>234531.63145965739</v>
      </c>
      <c r="I28" s="51">
        <v>221109.01146625928</v>
      </c>
      <c r="J28" s="51">
        <v>190016.57318361226</v>
      </c>
      <c r="K28" s="51">
        <v>188438.226164008</v>
      </c>
      <c r="L28" s="51">
        <v>170408.16822549904</v>
      </c>
      <c r="M28" s="51">
        <v>203734.24510797337</v>
      </c>
      <c r="N28" s="51">
        <v>193774.44509027412</v>
      </c>
      <c r="O28" s="51">
        <v>172742.75311181619</v>
      </c>
      <c r="P28" s="51">
        <v>153370.84553714455</v>
      </c>
      <c r="Q28" s="51">
        <v>208579.3913652715</v>
      </c>
      <c r="R28" s="51">
        <v>176894.19210141269</v>
      </c>
      <c r="S28" s="51">
        <v>121336.76465061989</v>
      </c>
      <c r="T28" s="51">
        <v>111295.90409648384</v>
      </c>
      <c r="U28" s="51">
        <v>123157.48937159803</v>
      </c>
      <c r="V28" s="51">
        <v>114076.60478069664</v>
      </c>
      <c r="W28" s="51">
        <v>110461.23134638427</v>
      </c>
      <c r="X28" s="51">
        <v>101898.08195759685</v>
      </c>
      <c r="Y28" s="51">
        <v>135209.83887279953</v>
      </c>
      <c r="Z28" s="51">
        <v>116423.03440704092</v>
      </c>
      <c r="AA28" s="51">
        <v>109757.96757711872</v>
      </c>
      <c r="AB28" s="51">
        <v>105578.19164767387</v>
      </c>
      <c r="AC28" s="51">
        <v>130685.61766967476</v>
      </c>
      <c r="AD28" s="51">
        <v>137068.45155053696</v>
      </c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</row>
    <row r="29" spans="5:55" x14ac:dyDescent="0.2">
      <c r="E29">
        <v>1300</v>
      </c>
      <c r="F29" s="51">
        <v>217589.02173838654</v>
      </c>
      <c r="G29" s="51">
        <v>242143.82247667739</v>
      </c>
      <c r="H29" s="51">
        <v>243191.61586202809</v>
      </c>
      <c r="I29" s="51">
        <v>214586.61783173209</v>
      </c>
      <c r="J29" s="51">
        <v>209067.22055798944</v>
      </c>
      <c r="K29" s="51">
        <v>191955.90757200605</v>
      </c>
      <c r="L29" s="51">
        <v>181820.82842129873</v>
      </c>
      <c r="M29" s="51">
        <v>182781.94631549364</v>
      </c>
      <c r="N29" s="51">
        <v>204731.84657354851</v>
      </c>
      <c r="O29" s="51">
        <v>147468.92392156192</v>
      </c>
      <c r="P29" s="51">
        <v>173111.31968334087</v>
      </c>
      <c r="Q29" s="51">
        <v>152223.54108788961</v>
      </c>
      <c r="R29" s="51">
        <v>109527.67042845963</v>
      </c>
      <c r="S29" s="51">
        <v>136550.71310461781</v>
      </c>
      <c r="T29" s="51">
        <v>109134.04325048866</v>
      </c>
      <c r="U29" s="51">
        <v>128755.31919485367</v>
      </c>
      <c r="V29" s="51">
        <v>104591.76943761815</v>
      </c>
      <c r="W29" s="51">
        <v>113711.17440971899</v>
      </c>
      <c r="X29" s="51">
        <v>80019.778357762814</v>
      </c>
      <c r="Y29" s="51">
        <v>107585.50059567385</v>
      </c>
      <c r="Z29" s="51">
        <v>111045.91515303863</v>
      </c>
      <c r="AA29" s="51">
        <v>100095.54666089792</v>
      </c>
      <c r="AB29" s="51">
        <v>110548.31468171725</v>
      </c>
      <c r="AC29" s="51">
        <v>91823.106202732626</v>
      </c>
      <c r="AD29" s="51">
        <v>107486.95829731307</v>
      </c>
      <c r="AE29" s="51">
        <v>105268.44679378255</v>
      </c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</row>
    <row r="30" spans="5:55" x14ac:dyDescent="0.2">
      <c r="E30">
        <v>1350</v>
      </c>
      <c r="F30" s="51">
        <v>248135.7614351307</v>
      </c>
      <c r="G30" s="51">
        <v>226019.10985047673</v>
      </c>
      <c r="H30" s="51">
        <v>216401.16424523445</v>
      </c>
      <c r="I30" s="51">
        <v>209117.41899069824</v>
      </c>
      <c r="J30" s="51">
        <v>215786.33012632199</v>
      </c>
      <c r="K30" s="51">
        <v>212151.25011895894</v>
      </c>
      <c r="L30" s="51">
        <v>197093.87243970172</v>
      </c>
      <c r="M30" s="51">
        <v>206306.75076189949</v>
      </c>
      <c r="N30" s="51">
        <v>208629.46984193934</v>
      </c>
      <c r="O30" s="51">
        <v>167763.315755944</v>
      </c>
      <c r="P30" s="51">
        <v>175314.8397701662</v>
      </c>
      <c r="Q30" s="51">
        <v>146094.12271851426</v>
      </c>
      <c r="R30" s="51">
        <v>108545.18735491703</v>
      </c>
      <c r="S30" s="51">
        <v>118467.0215487244</v>
      </c>
      <c r="T30" s="51">
        <v>94326.227577567013</v>
      </c>
      <c r="U30" s="51">
        <v>147116.38108701695</v>
      </c>
      <c r="V30" s="51">
        <v>120248.12590407525</v>
      </c>
      <c r="W30" s="51">
        <v>84245.989712230352</v>
      </c>
      <c r="X30" s="51">
        <v>103195.65029404218</v>
      </c>
      <c r="Y30" s="51">
        <v>111754.06140734439</v>
      </c>
      <c r="Z30" s="51">
        <v>100064.82133828467</v>
      </c>
      <c r="AA30" s="51">
        <v>87105.63213754553</v>
      </c>
      <c r="AB30" s="51">
        <v>98981.706771065743</v>
      </c>
      <c r="AC30" s="51">
        <v>90328.122103671194</v>
      </c>
      <c r="AD30" s="51">
        <v>92788.052769097456</v>
      </c>
      <c r="AE30" s="51">
        <v>84445.698359516959</v>
      </c>
      <c r="AF30" s="51">
        <v>91538.565387087539</v>
      </c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</row>
    <row r="31" spans="5:55" x14ac:dyDescent="0.2">
      <c r="E31">
        <v>1400</v>
      </c>
      <c r="F31" s="51">
        <v>237029.47284824264</v>
      </c>
      <c r="G31" s="51">
        <v>245143.14499494215</v>
      </c>
      <c r="H31" s="51">
        <v>232647.85323511381</v>
      </c>
      <c r="I31" s="51">
        <v>221595.53319156991</v>
      </c>
      <c r="J31" s="51">
        <v>219595.15563216043</v>
      </c>
      <c r="K31" s="51">
        <v>181004.34727389101</v>
      </c>
      <c r="L31" s="51">
        <v>181458.78938392407</v>
      </c>
      <c r="M31" s="51">
        <v>190560.54245789425</v>
      </c>
      <c r="N31" s="51">
        <v>178860.29207149529</v>
      </c>
      <c r="O31" s="51">
        <v>157114.69274305122</v>
      </c>
      <c r="P31" s="51">
        <v>164290.84047437939</v>
      </c>
      <c r="Q31" s="51">
        <v>151969.91046665178</v>
      </c>
      <c r="R31" s="51">
        <v>102647.2642261899</v>
      </c>
      <c r="S31" s="51">
        <v>161475.1451651754</v>
      </c>
      <c r="T31" s="51">
        <v>135574.60052618664</v>
      </c>
      <c r="U31" s="51">
        <v>108519.75521808166</v>
      </c>
      <c r="V31" s="51">
        <v>99728.170780839835</v>
      </c>
      <c r="W31" s="51">
        <v>101885.6295855614</v>
      </c>
      <c r="X31" s="51">
        <v>93765.330680518789</v>
      </c>
      <c r="Y31" s="51">
        <v>90671.220268467136</v>
      </c>
      <c r="Z31" s="51">
        <v>104619.17155822196</v>
      </c>
      <c r="AA31" s="51">
        <v>104083.67756496224</v>
      </c>
      <c r="AB31" s="51">
        <v>89534.167177651063</v>
      </c>
      <c r="AC31" s="51">
        <v>95182.790751345121</v>
      </c>
      <c r="AD31" s="51">
        <v>68558.090593827204</v>
      </c>
      <c r="AE31" s="51">
        <v>82104.107671680336</v>
      </c>
      <c r="AF31" s="51">
        <v>90627.58979876012</v>
      </c>
      <c r="AG31" s="51">
        <v>95911.04670942502</v>
      </c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</row>
    <row r="32" spans="5:55" x14ac:dyDescent="0.2">
      <c r="E32">
        <v>1450</v>
      </c>
      <c r="F32" s="51">
        <v>264031.91606731276</v>
      </c>
      <c r="G32" s="51">
        <v>237418.53565990372</v>
      </c>
      <c r="H32" s="51">
        <v>219262.85584705236</v>
      </c>
      <c r="I32" s="51">
        <v>200833.93599997199</v>
      </c>
      <c r="J32" s="51">
        <v>198142.2757686582</v>
      </c>
      <c r="K32" s="51">
        <v>169824.03333506055</v>
      </c>
      <c r="L32" s="51">
        <v>161096.08308094906</v>
      </c>
      <c r="M32" s="51">
        <v>176423.20246188255</v>
      </c>
      <c r="N32" s="51">
        <v>171499.67411186127</v>
      </c>
      <c r="O32" s="51">
        <v>162523.95097990232</v>
      </c>
      <c r="P32" s="51">
        <v>167417.63302565884</v>
      </c>
      <c r="Q32" s="51">
        <v>148552.59365446257</v>
      </c>
      <c r="R32" s="51">
        <v>154973.99634328292</v>
      </c>
      <c r="S32" s="51">
        <v>103021.99097831354</v>
      </c>
      <c r="T32" s="51">
        <v>131327.28021432203</v>
      </c>
      <c r="U32" s="51">
        <v>98890.501346264835</v>
      </c>
      <c r="V32" s="51">
        <v>91346.465251262285</v>
      </c>
      <c r="W32" s="51">
        <v>114056.3750784546</v>
      </c>
      <c r="X32" s="51">
        <v>95433.446122957714</v>
      </c>
      <c r="Y32" s="51">
        <v>78508.085454445958</v>
      </c>
      <c r="Z32" s="51">
        <v>102815.20411923785</v>
      </c>
      <c r="AA32" s="51">
        <v>89228.601957384933</v>
      </c>
      <c r="AB32" s="51">
        <v>89786.052777050252</v>
      </c>
      <c r="AC32" s="51">
        <v>74734.763365797815</v>
      </c>
      <c r="AD32" s="51">
        <v>75227.64976881539</v>
      </c>
      <c r="AE32" s="51">
        <v>76977.038769584076</v>
      </c>
      <c r="AF32" s="51">
        <v>87874.837804939933</v>
      </c>
      <c r="AG32" s="51">
        <v>79724.174290608789</v>
      </c>
      <c r="AH32" s="51">
        <v>76614.944365604752</v>
      </c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</row>
    <row r="33" spans="5:55" x14ac:dyDescent="0.2">
      <c r="E33">
        <v>1500</v>
      </c>
      <c r="F33" s="51">
        <v>225170.32148158998</v>
      </c>
      <c r="G33" s="51">
        <v>216111.68923148527</v>
      </c>
      <c r="H33" s="51">
        <v>212866.52912748343</v>
      </c>
      <c r="I33" s="51">
        <v>174023.21264855636</v>
      </c>
      <c r="J33" s="51">
        <v>191319.11696017926</v>
      </c>
      <c r="K33" s="51">
        <v>195431.37822026043</v>
      </c>
      <c r="L33" s="51">
        <v>169472.07408779935</v>
      </c>
      <c r="M33" s="51">
        <v>209329.23226088914</v>
      </c>
      <c r="N33" s="51">
        <v>167728.84646824145</v>
      </c>
      <c r="O33" s="51">
        <v>154747.25615133869</v>
      </c>
      <c r="P33" s="51">
        <v>154222.47358354577</v>
      </c>
      <c r="Q33" s="51">
        <v>153745.1079825848</v>
      </c>
      <c r="R33" s="51">
        <v>147627.44474218346</v>
      </c>
      <c r="S33" s="51">
        <v>101459.19949772918</v>
      </c>
      <c r="T33" s="51">
        <v>157792.69166036369</v>
      </c>
      <c r="U33" s="51">
        <v>82724.392416494054</v>
      </c>
      <c r="V33" s="51">
        <v>115846.7479887696</v>
      </c>
      <c r="W33" s="51">
        <v>71596.128172216617</v>
      </c>
      <c r="X33" s="51">
        <v>79132.58340877833</v>
      </c>
      <c r="Y33" s="51">
        <v>86547.801113257578</v>
      </c>
      <c r="Z33" s="51">
        <v>94354.12834835476</v>
      </c>
      <c r="AA33" s="51">
        <v>85567.306737320527</v>
      </c>
      <c r="AB33" s="51">
        <v>90183.999261121018</v>
      </c>
      <c r="AC33" s="51">
        <v>78703.25985215517</v>
      </c>
      <c r="AD33" s="51">
        <v>74157.122207076507</v>
      </c>
      <c r="AE33" s="51">
        <v>97652.168599822442</v>
      </c>
      <c r="AF33" s="51">
        <v>68610.949236547982</v>
      </c>
      <c r="AG33" s="51">
        <v>91484.96036032011</v>
      </c>
      <c r="AH33" s="51">
        <v>76420.017148836632</v>
      </c>
      <c r="AI33" s="51">
        <v>65707.275330771896</v>
      </c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</row>
    <row r="34" spans="5:55" x14ac:dyDescent="0.2">
      <c r="E34">
        <v>1550</v>
      </c>
      <c r="F34" s="51">
        <v>211528.19404289039</v>
      </c>
      <c r="G34" s="51">
        <v>228215.866663758</v>
      </c>
      <c r="H34" s="51">
        <v>192390.14873241467</v>
      </c>
      <c r="I34" s="51">
        <v>187852.89244986349</v>
      </c>
      <c r="J34" s="51">
        <v>206295.5523792911</v>
      </c>
      <c r="K34" s="51">
        <v>174328.63817959317</v>
      </c>
      <c r="L34" s="51">
        <v>199717.83452311213</v>
      </c>
      <c r="M34" s="51">
        <v>152194.3053213309</v>
      </c>
      <c r="N34" s="51">
        <v>175606.68078113234</v>
      </c>
      <c r="O34" s="51">
        <v>149581.82088839414</v>
      </c>
      <c r="P34" s="51">
        <v>114492.13615876617</v>
      </c>
      <c r="Q34" s="51">
        <v>164528.03733114852</v>
      </c>
      <c r="R34" s="51">
        <v>138897.5529722677</v>
      </c>
      <c r="S34" s="51">
        <v>155622.32403664387</v>
      </c>
      <c r="T34" s="51">
        <v>155932.3210469835</v>
      </c>
      <c r="U34" s="51">
        <v>109800.52112044297</v>
      </c>
      <c r="V34" s="51">
        <v>87211.207510561871</v>
      </c>
      <c r="W34" s="51">
        <v>83027.606461384377</v>
      </c>
      <c r="X34" s="51">
        <v>86702.179018758863</v>
      </c>
      <c r="Y34" s="51">
        <v>95762.302575440874</v>
      </c>
      <c r="Z34" s="51">
        <v>72383.103350598467</v>
      </c>
      <c r="AA34" s="51">
        <v>74062.53948895006</v>
      </c>
      <c r="AB34" s="51">
        <v>101897.63837932478</v>
      </c>
      <c r="AC34" s="51">
        <v>84476.701180441654</v>
      </c>
      <c r="AD34" s="51">
        <v>79890.961880135714</v>
      </c>
      <c r="AE34" s="51">
        <v>76914.042081946754</v>
      </c>
      <c r="AF34" s="51">
        <v>78853.37573312514</v>
      </c>
      <c r="AG34" s="51">
        <v>80337.211204384177</v>
      </c>
      <c r="AH34" s="51">
        <v>54709.714649396163</v>
      </c>
      <c r="AI34" s="51">
        <v>89027.438866656346</v>
      </c>
      <c r="AJ34" s="51">
        <v>73160.194952512771</v>
      </c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</row>
    <row r="35" spans="5:55" x14ac:dyDescent="0.2">
      <c r="E35">
        <v>1600</v>
      </c>
      <c r="F35" s="51">
        <v>181375.31490673692</v>
      </c>
      <c r="G35" s="51">
        <v>219988.9660558613</v>
      </c>
      <c r="H35" s="51">
        <v>192732.01801371109</v>
      </c>
      <c r="I35" s="51">
        <v>202061.60678660384</v>
      </c>
      <c r="J35" s="51">
        <v>197558.93716470525</v>
      </c>
      <c r="K35" s="51">
        <v>193833.98296205638</v>
      </c>
      <c r="L35" s="51">
        <v>185122.98876683344</v>
      </c>
      <c r="M35" s="51">
        <v>191624.11889680056</v>
      </c>
      <c r="N35" s="51">
        <v>142601.17271738118</v>
      </c>
      <c r="O35" s="51">
        <v>144122.02290037303</v>
      </c>
      <c r="P35" s="51">
        <v>148609.75506591244</v>
      </c>
      <c r="Q35" s="51">
        <v>135981.60807891536</v>
      </c>
      <c r="R35" s="51">
        <v>127248.12409435911</v>
      </c>
      <c r="S35" s="51">
        <v>111988.17506786692</v>
      </c>
      <c r="T35" s="51">
        <v>136780.42682442346</v>
      </c>
      <c r="U35" s="51">
        <v>124065.82627936661</v>
      </c>
      <c r="V35" s="51">
        <v>97870.039829353118</v>
      </c>
      <c r="W35" s="51">
        <v>85509.687730712656</v>
      </c>
      <c r="X35" s="51">
        <v>98660.115371367036</v>
      </c>
      <c r="Y35" s="51">
        <v>71644.355675467144</v>
      </c>
      <c r="Z35" s="51">
        <v>89610.834915992047</v>
      </c>
      <c r="AA35" s="51">
        <v>78874.857823364044</v>
      </c>
      <c r="AB35" s="51">
        <v>79635.816640968696</v>
      </c>
      <c r="AC35" s="51">
        <v>83810.209236037903</v>
      </c>
      <c r="AD35" s="51">
        <v>71372.584216914562</v>
      </c>
      <c r="AE35" s="51">
        <v>76364.886667135564</v>
      </c>
      <c r="AF35" s="51">
        <v>65203.430384695959</v>
      </c>
      <c r="AG35" s="51">
        <v>73898.133436046206</v>
      </c>
      <c r="AH35" s="51">
        <v>69511.149819153448</v>
      </c>
      <c r="AI35" s="51">
        <v>67853.521830260812</v>
      </c>
      <c r="AJ35" s="51">
        <v>85010.258275780885</v>
      </c>
      <c r="AK35" s="51">
        <v>55731.18248947923</v>
      </c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</row>
    <row r="36" spans="5:55" x14ac:dyDescent="0.2">
      <c r="E36">
        <v>1650</v>
      </c>
      <c r="F36" s="51">
        <v>193207.86252972315</v>
      </c>
      <c r="G36" s="51">
        <v>193999.08606480481</v>
      </c>
      <c r="H36" s="51">
        <v>202042.92654221278</v>
      </c>
      <c r="I36" s="51">
        <v>202179.84593417082</v>
      </c>
      <c r="J36" s="51">
        <v>204910.21890575642</v>
      </c>
      <c r="K36" s="51">
        <v>189398.44302818607</v>
      </c>
      <c r="L36" s="51">
        <v>159447.07826976528</v>
      </c>
      <c r="M36" s="51">
        <v>165850.18608438474</v>
      </c>
      <c r="N36" s="51">
        <v>171092.21551469379</v>
      </c>
      <c r="O36" s="51">
        <v>157440.39682937117</v>
      </c>
      <c r="P36" s="51">
        <v>147068.61284893341</v>
      </c>
      <c r="Q36" s="51">
        <v>141043.43652545355</v>
      </c>
      <c r="R36" s="51">
        <v>140090.19404548171</v>
      </c>
      <c r="S36" s="51">
        <v>122790.21240810168</v>
      </c>
      <c r="T36" s="51">
        <v>155660.33215012989</v>
      </c>
      <c r="U36" s="51">
        <v>127331.12682217435</v>
      </c>
      <c r="V36" s="51">
        <v>113742.83340596969</v>
      </c>
      <c r="W36" s="51">
        <v>75918.495990419964</v>
      </c>
      <c r="X36" s="51">
        <v>70592.877634026969</v>
      </c>
      <c r="Y36" s="51">
        <v>80138.622781378363</v>
      </c>
      <c r="Z36" s="51">
        <v>75210.298538706091</v>
      </c>
      <c r="AA36" s="51">
        <v>89479.470438803764</v>
      </c>
      <c r="AB36" s="51">
        <v>67997.373088750086</v>
      </c>
      <c r="AC36" s="51">
        <v>87143.67690254889</v>
      </c>
      <c r="AD36" s="51">
        <v>65017.965977589527</v>
      </c>
      <c r="AE36" s="51">
        <v>75250.456689195547</v>
      </c>
      <c r="AF36" s="51">
        <v>62256.991346113726</v>
      </c>
      <c r="AG36" s="51">
        <v>61429.057136814336</v>
      </c>
      <c r="AH36" s="51">
        <v>63290.979856188234</v>
      </c>
      <c r="AI36" s="51">
        <v>59206.508025675983</v>
      </c>
      <c r="AJ36" s="51">
        <v>67895.927789252702</v>
      </c>
      <c r="AK36" s="51">
        <v>62719.477404394085</v>
      </c>
      <c r="AL36" s="51">
        <v>66612.117856682147</v>
      </c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</row>
    <row r="37" spans="5:55" x14ac:dyDescent="0.2">
      <c r="E37">
        <v>1700</v>
      </c>
      <c r="F37" s="51">
        <v>207278.46071380025</v>
      </c>
      <c r="G37" s="51">
        <v>194541.13072821251</v>
      </c>
      <c r="H37" s="51">
        <v>183337.95909598842</v>
      </c>
      <c r="I37" s="51">
        <v>196220.66042508837</v>
      </c>
      <c r="J37" s="51">
        <v>179811.37334091912</v>
      </c>
      <c r="K37" s="51">
        <v>191323.35118865373</v>
      </c>
      <c r="L37" s="51">
        <v>175567.74588810222</v>
      </c>
      <c r="M37" s="51">
        <v>154249.44279226285</v>
      </c>
      <c r="N37" s="51">
        <v>159583.38447822325</v>
      </c>
      <c r="O37" s="51">
        <v>154947.88515358677</v>
      </c>
      <c r="P37" s="51">
        <v>132200.38741326277</v>
      </c>
      <c r="Q37" s="51">
        <v>121082.90068754829</v>
      </c>
      <c r="R37" s="51">
        <v>105002.22283935244</v>
      </c>
      <c r="S37" s="51">
        <v>101920.31673650857</v>
      </c>
      <c r="T37" s="51">
        <v>119279.983381318</v>
      </c>
      <c r="U37" s="51">
        <v>114921.97544066631</v>
      </c>
      <c r="V37" s="51">
        <v>111673.56643288655</v>
      </c>
      <c r="W37" s="51">
        <v>83398.17073329055</v>
      </c>
      <c r="X37" s="51">
        <v>77936.891473933836</v>
      </c>
      <c r="Y37" s="51">
        <v>114466.82080788889</v>
      </c>
      <c r="Z37" s="51">
        <v>93017.105342347597</v>
      </c>
      <c r="AA37" s="51">
        <v>61947.057576937899</v>
      </c>
      <c r="AB37" s="51">
        <v>67613.434465069207</v>
      </c>
      <c r="AC37" s="51">
        <v>59986.251570584325</v>
      </c>
      <c r="AD37" s="51">
        <v>60368.984694978819</v>
      </c>
      <c r="AE37" s="51">
        <v>55456.553568153337</v>
      </c>
      <c r="AF37" s="51">
        <v>66079.54480623758</v>
      </c>
      <c r="AG37" s="51">
        <v>45379.245211836729</v>
      </c>
      <c r="AH37" s="51">
        <v>61009.61340676737</v>
      </c>
      <c r="AI37" s="51">
        <v>58839.938535498542</v>
      </c>
      <c r="AJ37" s="51">
        <v>61820.342033445158</v>
      </c>
      <c r="AK37" s="51">
        <v>64887.706695736582</v>
      </c>
      <c r="AL37" s="51">
        <v>65111.892823635935</v>
      </c>
      <c r="AM37" s="51">
        <v>62262.892344438485</v>
      </c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</row>
    <row r="38" spans="5:55" x14ac:dyDescent="0.2">
      <c r="E38">
        <v>1750</v>
      </c>
      <c r="F38" s="51">
        <v>203569.8052699125</v>
      </c>
      <c r="G38" s="51">
        <v>169256.11493837304</v>
      </c>
      <c r="H38" s="51">
        <v>178052.73704503514</v>
      </c>
      <c r="I38" s="51">
        <v>170682.18742111593</v>
      </c>
      <c r="J38" s="51">
        <v>183382.74259238873</v>
      </c>
      <c r="K38" s="51">
        <v>173375.92882509407</v>
      </c>
      <c r="L38" s="51">
        <v>165086.19860069785</v>
      </c>
      <c r="M38" s="51">
        <v>136704.99402062077</v>
      </c>
      <c r="N38" s="51">
        <v>120997.99847632345</v>
      </c>
      <c r="O38" s="51">
        <v>118165.47411934986</v>
      </c>
      <c r="P38" s="51">
        <v>114032.11736428241</v>
      </c>
      <c r="Q38" s="51">
        <v>121671.15896741916</v>
      </c>
      <c r="R38" s="51">
        <v>154683.53380182918</v>
      </c>
      <c r="S38" s="51">
        <v>157182.951944873</v>
      </c>
      <c r="T38" s="51">
        <v>105655.93880558302</v>
      </c>
      <c r="U38" s="51">
        <v>121591.93767466705</v>
      </c>
      <c r="V38" s="51">
        <v>124646.48208712395</v>
      </c>
      <c r="W38" s="51">
        <v>101752.26648885581</v>
      </c>
      <c r="X38" s="51">
        <v>88664.467144382303</v>
      </c>
      <c r="Y38" s="51">
        <v>88295.501822404884</v>
      </c>
      <c r="Z38" s="51">
        <v>68899.631600002773</v>
      </c>
      <c r="AA38" s="51">
        <v>71302.414360426468</v>
      </c>
      <c r="AB38" s="51">
        <v>64657.800997339458</v>
      </c>
      <c r="AC38" s="51">
        <v>63075.053459777868</v>
      </c>
      <c r="AD38" s="51">
        <v>59005.79542001801</v>
      </c>
      <c r="AE38" s="51">
        <v>57972.781331281891</v>
      </c>
      <c r="AF38" s="51">
        <v>57760.640332965173</v>
      </c>
      <c r="AG38" s="51">
        <v>60115.317381200279</v>
      </c>
      <c r="AH38" s="51">
        <v>59311.046897823675</v>
      </c>
      <c r="AI38" s="51">
        <v>80373.580200454526</v>
      </c>
      <c r="AJ38" s="51">
        <v>61369.896938350379</v>
      </c>
      <c r="AK38" s="51">
        <v>77556.142063152438</v>
      </c>
      <c r="AL38" s="51">
        <v>71335.929223237486</v>
      </c>
      <c r="AM38" s="51">
        <v>49105.942338019653</v>
      </c>
      <c r="AN38" s="51">
        <v>73026.115150373007</v>
      </c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</row>
    <row r="39" spans="5:55" x14ac:dyDescent="0.2">
      <c r="E39">
        <v>1800</v>
      </c>
      <c r="F39" s="51">
        <v>230170.83791906753</v>
      </c>
      <c r="G39" s="51">
        <v>240429.79850976259</v>
      </c>
      <c r="H39" s="51">
        <v>216263.60557750234</v>
      </c>
      <c r="I39" s="51">
        <v>165304.6720669904</v>
      </c>
      <c r="J39" s="51">
        <v>173271.13177959426</v>
      </c>
      <c r="K39" s="51">
        <v>158068.52339338502</v>
      </c>
      <c r="L39" s="51">
        <v>173241.40518982388</v>
      </c>
      <c r="M39" s="51">
        <v>161182.53023849902</v>
      </c>
      <c r="N39" s="51">
        <v>145534.23355577551</v>
      </c>
      <c r="O39" s="51">
        <v>109795.09722276704</v>
      </c>
      <c r="P39" s="51">
        <v>129917.88173220196</v>
      </c>
      <c r="Q39" s="51">
        <v>129989.15322610081</v>
      </c>
      <c r="R39" s="51">
        <v>124761.89538771367</v>
      </c>
      <c r="S39" s="51">
        <v>104020.72231227356</v>
      </c>
      <c r="T39" s="51">
        <v>132396.95001173206</v>
      </c>
      <c r="U39" s="51">
        <v>129339.12469061837</v>
      </c>
      <c r="V39" s="51">
        <v>101050.76406024129</v>
      </c>
      <c r="W39" s="51">
        <v>121070.15548105336</v>
      </c>
      <c r="X39" s="51">
        <v>93321.971640739881</v>
      </c>
      <c r="Y39" s="51">
        <v>76168.625758741517</v>
      </c>
      <c r="Z39" s="51">
        <v>70278.087577433645</v>
      </c>
      <c r="AA39" s="51">
        <v>79779.52856293376</v>
      </c>
      <c r="AB39" s="51">
        <v>86865.182396355623</v>
      </c>
      <c r="AC39" s="51">
        <v>68580.717597642637</v>
      </c>
      <c r="AD39" s="51">
        <v>83068.610594745027</v>
      </c>
      <c r="AE39" s="51">
        <v>61850.877708372398</v>
      </c>
      <c r="AF39" s="51">
        <v>68617.664080914095</v>
      </c>
      <c r="AG39" s="51">
        <v>59686.042372270291</v>
      </c>
      <c r="AH39" s="51">
        <v>55596.931262457605</v>
      </c>
      <c r="AI39" s="51">
        <v>65534.32652185476</v>
      </c>
      <c r="AJ39" s="51">
        <v>44163.331769954682</v>
      </c>
      <c r="AK39" s="51">
        <v>59836.367165892305</v>
      </c>
      <c r="AL39" s="51">
        <v>62722.608157923103</v>
      </c>
      <c r="AM39" s="51">
        <v>62057.968848642675</v>
      </c>
      <c r="AN39" s="51">
        <v>41068.910758547456</v>
      </c>
      <c r="AO39" s="51">
        <v>61812.72673189504</v>
      </c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</row>
    <row r="40" spans="5:55" x14ac:dyDescent="0.2">
      <c r="E40">
        <v>1850</v>
      </c>
      <c r="F40" s="51">
        <v>192059.77399503175</v>
      </c>
      <c r="G40" s="51">
        <v>198445.62250930304</v>
      </c>
      <c r="H40" s="51">
        <v>192006.14283962274</v>
      </c>
      <c r="I40" s="51">
        <v>183028.31931972175</v>
      </c>
      <c r="J40" s="51">
        <v>149424.91019872029</v>
      </c>
      <c r="K40" s="51">
        <v>171303.06721584301</v>
      </c>
      <c r="L40" s="51">
        <v>151616.0129572828</v>
      </c>
      <c r="M40" s="51">
        <v>142623.10588944526</v>
      </c>
      <c r="N40" s="51">
        <v>128434.29342791895</v>
      </c>
      <c r="O40" s="51">
        <v>154958.56408611438</v>
      </c>
      <c r="P40" s="51">
        <v>135879.19968096039</v>
      </c>
      <c r="Q40" s="51">
        <v>138128.48094795927</v>
      </c>
      <c r="R40" s="51">
        <v>154469.6454998964</v>
      </c>
      <c r="S40" s="51">
        <v>105266.97702295979</v>
      </c>
      <c r="T40" s="51">
        <v>118312.15196329319</v>
      </c>
      <c r="U40" s="51">
        <v>89958.281119129475</v>
      </c>
      <c r="V40" s="51">
        <v>123661.54183382604</v>
      </c>
      <c r="W40" s="51">
        <v>107213.18287144275</v>
      </c>
      <c r="X40" s="51">
        <v>123714.63108779174</v>
      </c>
      <c r="Y40" s="51">
        <v>90977.460817060259</v>
      </c>
      <c r="Z40" s="51">
        <v>58561.460850831267</v>
      </c>
      <c r="AA40" s="51">
        <v>68998.449797868627</v>
      </c>
      <c r="AB40" s="51">
        <v>66946.099193101283</v>
      </c>
      <c r="AC40" s="51">
        <v>54664.078191695611</v>
      </c>
      <c r="AD40" s="51">
        <v>64733.264115245598</v>
      </c>
      <c r="AE40" s="51">
        <v>62475.348654811562</v>
      </c>
      <c r="AF40" s="51">
        <v>55401.26139274257</v>
      </c>
      <c r="AG40" s="51">
        <v>69065.209633587088</v>
      </c>
      <c r="AH40" s="51">
        <v>68533.786476277193</v>
      </c>
      <c r="AI40" s="51">
        <v>57786.002083156505</v>
      </c>
      <c r="AJ40" s="51">
        <v>65565.999230829766</v>
      </c>
      <c r="AK40" s="51">
        <v>63779.729840883389</v>
      </c>
      <c r="AL40" s="51">
        <v>57949.472900288507</v>
      </c>
      <c r="AM40" s="51">
        <v>55154.443447126374</v>
      </c>
      <c r="AN40" s="51">
        <v>62823.344164649789</v>
      </c>
      <c r="AO40" s="51">
        <v>54452.067384222806</v>
      </c>
      <c r="AP40" s="51">
        <v>56780.517101172147</v>
      </c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</row>
    <row r="41" spans="5:55" x14ac:dyDescent="0.2">
      <c r="E41">
        <v>1900</v>
      </c>
      <c r="F41" s="51">
        <v>182357.1797126671</v>
      </c>
      <c r="G41" s="51">
        <v>224616.4109139572</v>
      </c>
      <c r="H41" s="51">
        <v>188969.38528312114</v>
      </c>
      <c r="I41" s="51">
        <v>179041.67950359214</v>
      </c>
      <c r="J41" s="51">
        <v>163835.61812619257</v>
      </c>
      <c r="K41" s="51">
        <v>171644.45943868271</v>
      </c>
      <c r="L41" s="51">
        <v>160690.00273350495</v>
      </c>
      <c r="M41" s="51">
        <v>161723.52988288141</v>
      </c>
      <c r="N41" s="51">
        <v>154275.71478464006</v>
      </c>
      <c r="O41" s="51">
        <v>129568.18298287147</v>
      </c>
      <c r="P41" s="51">
        <v>122013.14822046871</v>
      </c>
      <c r="Q41" s="51">
        <v>117646.73792104656</v>
      </c>
      <c r="R41" s="51">
        <v>118355.1766500517</v>
      </c>
      <c r="S41" s="51">
        <v>131539.26854269742</v>
      </c>
      <c r="T41" s="51">
        <v>103359.61503962488</v>
      </c>
      <c r="U41" s="51">
        <v>105564.78154246618</v>
      </c>
      <c r="V41" s="51">
        <v>95705.207829036255</v>
      </c>
      <c r="W41" s="51">
        <v>89057.950831675902</v>
      </c>
      <c r="X41" s="51">
        <v>97711.997185005996</v>
      </c>
      <c r="Y41" s="51">
        <v>55244.773726652616</v>
      </c>
      <c r="Z41" s="51">
        <v>103399.9728507354</v>
      </c>
      <c r="AA41" s="51">
        <v>58616.996210913756</v>
      </c>
      <c r="AB41" s="51">
        <v>78715.355918047455</v>
      </c>
      <c r="AC41" s="51">
        <v>60876.749268515057</v>
      </c>
      <c r="AD41" s="51">
        <v>53248.902121139923</v>
      </c>
      <c r="AE41" s="51">
        <v>65711.783412579869</v>
      </c>
      <c r="AF41" s="51">
        <v>63390.420707911289</v>
      </c>
      <c r="AG41" s="51">
        <v>65788.256877848646</v>
      </c>
      <c r="AH41" s="51">
        <v>61519.811246417696</v>
      </c>
      <c r="AI41" s="51">
        <v>63897.615188382813</v>
      </c>
      <c r="AJ41" s="51">
        <v>56977.138892945019</v>
      </c>
      <c r="AK41" s="51">
        <v>59126.667825504264</v>
      </c>
      <c r="AL41" s="51">
        <v>58163.625662567079</v>
      </c>
      <c r="AM41" s="51">
        <v>55696.148547095385</v>
      </c>
      <c r="AN41" s="51">
        <v>56257.631676043326</v>
      </c>
      <c r="AO41" s="51">
        <v>68833.744532267505</v>
      </c>
      <c r="AP41" s="51">
        <v>54096.308149889461</v>
      </c>
      <c r="AQ41" s="51">
        <v>66525.205556702524</v>
      </c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</row>
    <row r="42" spans="5:55" x14ac:dyDescent="0.2">
      <c r="E42">
        <v>1950</v>
      </c>
      <c r="F42" s="51">
        <v>198126.15048922834</v>
      </c>
      <c r="G42" s="51">
        <v>223433.20176078635</v>
      </c>
      <c r="H42" s="51">
        <v>188617.91517440704</v>
      </c>
      <c r="I42" s="51">
        <v>196821.77607884156</v>
      </c>
      <c r="J42" s="51">
        <v>158248.4476943918</v>
      </c>
      <c r="K42" s="51">
        <v>149620.91041111955</v>
      </c>
      <c r="L42" s="51">
        <v>149437.85852848733</v>
      </c>
      <c r="M42" s="51">
        <v>148862.94668059488</v>
      </c>
      <c r="N42" s="51">
        <v>135991.07368821898</v>
      </c>
      <c r="O42" s="51">
        <v>170524.32851699728</v>
      </c>
      <c r="P42" s="51">
        <v>137643.32088424021</v>
      </c>
      <c r="Q42" s="51">
        <v>127148.57881193302</v>
      </c>
      <c r="R42" s="51">
        <v>122173.99018437135</v>
      </c>
      <c r="S42" s="51">
        <v>121479.49265291939</v>
      </c>
      <c r="T42" s="51">
        <v>90182.383962144246</v>
      </c>
      <c r="U42" s="51">
        <v>107360.73993219642</v>
      </c>
      <c r="V42" s="51">
        <v>117498.62235500905</v>
      </c>
      <c r="W42" s="51">
        <v>115654.5769918179</v>
      </c>
      <c r="X42" s="51">
        <v>71151.166664975011</v>
      </c>
      <c r="Y42" s="51">
        <v>77797.272645701232</v>
      </c>
      <c r="Z42" s="51">
        <v>81960.263798971224</v>
      </c>
      <c r="AA42" s="51">
        <v>73235.392725206606</v>
      </c>
      <c r="AB42" s="51">
        <v>64474.746554981532</v>
      </c>
      <c r="AC42" s="51">
        <v>71658.869235505859</v>
      </c>
      <c r="AD42" s="51">
        <v>68471.539798205762</v>
      </c>
      <c r="AE42" s="51">
        <v>48586.031662650741</v>
      </c>
      <c r="AF42" s="51">
        <v>60178.022869065164</v>
      </c>
      <c r="AG42" s="51">
        <v>68308.590156076767</v>
      </c>
      <c r="AH42" s="51">
        <v>56980.747458553924</v>
      </c>
      <c r="AI42" s="51">
        <v>57895.962597973281</v>
      </c>
      <c r="AJ42" s="51">
        <v>56553.317367757692</v>
      </c>
      <c r="AK42" s="51">
        <v>55457.109528631743</v>
      </c>
      <c r="AL42" s="51">
        <v>57669.586214790965</v>
      </c>
      <c r="AM42" s="51">
        <v>63769.187368731211</v>
      </c>
      <c r="AN42" s="51">
        <v>53361.537735451937</v>
      </c>
      <c r="AO42" s="51">
        <v>64700.296411762785</v>
      </c>
      <c r="AP42" s="51">
        <v>72835.289345232333</v>
      </c>
      <c r="AQ42" s="51">
        <v>55896.862611071767</v>
      </c>
      <c r="AR42" s="51">
        <v>53761.749639459646</v>
      </c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</row>
    <row r="43" spans="5:55" x14ac:dyDescent="0.2">
      <c r="E43">
        <v>2000</v>
      </c>
      <c r="F43" s="51">
        <v>204603.17389801127</v>
      </c>
      <c r="G43" s="51">
        <v>189490.0633967433</v>
      </c>
      <c r="H43" s="51">
        <v>166638.70767286888</v>
      </c>
      <c r="I43" s="51">
        <v>178613.50974734375</v>
      </c>
      <c r="J43" s="51">
        <v>204220.69629534576</v>
      </c>
      <c r="K43" s="51">
        <v>187721.52155308335</v>
      </c>
      <c r="L43" s="51">
        <v>159367.01587778982</v>
      </c>
      <c r="M43" s="51">
        <v>193993.0113558048</v>
      </c>
      <c r="N43" s="51">
        <v>131724.12755200703</v>
      </c>
      <c r="O43" s="51">
        <v>134671.9344105616</v>
      </c>
      <c r="P43" s="51">
        <v>144133.8150170196</v>
      </c>
      <c r="Q43" s="51">
        <v>143774.69313638689</v>
      </c>
      <c r="R43" s="51">
        <v>114125.69852394372</v>
      </c>
      <c r="S43" s="51">
        <v>111013.24318647054</v>
      </c>
      <c r="T43" s="51">
        <v>94827.839144763959</v>
      </c>
      <c r="U43" s="51">
        <v>112155.15953510668</v>
      </c>
      <c r="V43" s="51">
        <v>101556.25009172545</v>
      </c>
      <c r="W43" s="51">
        <v>98439.911290936405</v>
      </c>
      <c r="X43" s="51">
        <v>97445.539300726639</v>
      </c>
      <c r="Y43" s="51">
        <v>97406.028838433835</v>
      </c>
      <c r="Z43" s="51">
        <v>93009.411298072504</v>
      </c>
      <c r="AA43" s="51">
        <v>83778.094665837358</v>
      </c>
      <c r="AB43" s="51">
        <v>104804.69008691626</v>
      </c>
      <c r="AC43" s="51">
        <v>63800.06978308173</v>
      </c>
      <c r="AD43" s="51">
        <v>69350.16394935899</v>
      </c>
      <c r="AE43" s="51">
        <v>58722.39071154219</v>
      </c>
      <c r="AF43" s="51">
        <v>64871.766707465016</v>
      </c>
      <c r="AG43" s="51">
        <v>61342.264489805122</v>
      </c>
      <c r="AH43" s="51">
        <v>56004.717643731834</v>
      </c>
      <c r="AI43" s="51">
        <v>52700.705228964631</v>
      </c>
      <c r="AJ43" s="51">
        <v>57798.77401090035</v>
      </c>
      <c r="AK43" s="51">
        <v>55624.012149753056</v>
      </c>
      <c r="AL43" s="51">
        <v>57155.695247065516</v>
      </c>
      <c r="AM43" s="51">
        <v>53504.368137425816</v>
      </c>
      <c r="AN43" s="51">
        <v>55170.336810950008</v>
      </c>
      <c r="AO43" s="51">
        <v>56738.861169633863</v>
      </c>
      <c r="AP43" s="51">
        <v>56047.261171032202</v>
      </c>
      <c r="AQ43" s="51">
        <v>60620.644384875421</v>
      </c>
      <c r="AR43" s="51">
        <v>47193.220953779986</v>
      </c>
      <c r="AS43" s="51">
        <v>58375.610824776057</v>
      </c>
      <c r="AT43" s="51"/>
      <c r="AU43" s="51"/>
      <c r="AV43" s="51"/>
      <c r="AW43" s="51"/>
      <c r="AX43" s="51"/>
      <c r="AY43" s="51"/>
      <c r="AZ43" s="51"/>
      <c r="BA43" s="51"/>
      <c r="BB43" s="51"/>
      <c r="BC43" s="51"/>
    </row>
    <row r="44" spans="5:55" x14ac:dyDescent="0.2">
      <c r="E44">
        <v>2050</v>
      </c>
      <c r="F44" s="51">
        <v>227345.45129947586</v>
      </c>
      <c r="G44" s="51">
        <v>166195.33218704868</v>
      </c>
      <c r="H44" s="51">
        <v>186583.99255592664</v>
      </c>
      <c r="I44" s="51">
        <v>170292.41712177004</v>
      </c>
      <c r="J44" s="51">
        <v>198812.16692912226</v>
      </c>
      <c r="K44" s="51">
        <v>171070.54793852344</v>
      </c>
      <c r="L44" s="51">
        <v>164064.24540806719</v>
      </c>
      <c r="M44" s="51">
        <v>141991.15401958762</v>
      </c>
      <c r="N44" s="51">
        <v>169360.7057866356</v>
      </c>
      <c r="O44" s="51">
        <v>130282.60137097861</v>
      </c>
      <c r="P44" s="51">
        <v>136473.74131254738</v>
      </c>
      <c r="Q44" s="51">
        <v>130601.56254998331</v>
      </c>
      <c r="R44" s="51">
        <v>102905.14196741459</v>
      </c>
      <c r="S44" s="51">
        <v>99390.675260352844</v>
      </c>
      <c r="T44" s="51">
        <v>100319.93799813927</v>
      </c>
      <c r="U44" s="51">
        <v>88589.470970668466</v>
      </c>
      <c r="V44" s="51">
        <v>94391.814241443746</v>
      </c>
      <c r="W44" s="51">
        <v>105472.16225555504</v>
      </c>
      <c r="X44" s="51">
        <v>98979.430787447563</v>
      </c>
      <c r="Y44" s="51">
        <v>60405.69445518063</v>
      </c>
      <c r="Z44" s="51">
        <v>87448.808785424248</v>
      </c>
      <c r="AA44" s="51">
        <v>79115.026717207613</v>
      </c>
      <c r="AB44" s="51">
        <v>70941.348822849119</v>
      </c>
      <c r="AC44" s="51">
        <v>91565.80780840751</v>
      </c>
      <c r="AD44" s="51">
        <v>66153.499778172569</v>
      </c>
      <c r="AE44" s="51">
        <v>44774.039563259845</v>
      </c>
      <c r="AF44" s="51">
        <v>58667.12943083093</v>
      </c>
      <c r="AG44" s="51">
        <v>61541.409158373783</v>
      </c>
      <c r="AH44" s="51">
        <v>57772.66267800011</v>
      </c>
      <c r="AI44" s="51">
        <v>53928.770008874737</v>
      </c>
      <c r="AJ44" s="51">
        <v>63567.693415461312</v>
      </c>
      <c r="AK44" s="51">
        <v>52912.486273572358</v>
      </c>
      <c r="AL44" s="51">
        <v>60233.728198806064</v>
      </c>
      <c r="AM44" s="51">
        <v>46759.302094948711</v>
      </c>
      <c r="AN44" s="51">
        <v>58068.62271282958</v>
      </c>
      <c r="AO44" s="51">
        <v>53821.605512239563</v>
      </c>
      <c r="AP44" s="51">
        <v>49563.618294744825</v>
      </c>
      <c r="AQ44" s="51">
        <v>58476.795638643991</v>
      </c>
      <c r="AR44" s="51">
        <v>57229.360809564656</v>
      </c>
      <c r="AS44" s="51">
        <v>53351.540237308349</v>
      </c>
      <c r="AT44" s="51">
        <v>56315.60288487513</v>
      </c>
      <c r="AU44" s="51"/>
      <c r="AV44" s="51"/>
      <c r="AW44" s="51"/>
      <c r="AX44" s="51"/>
      <c r="AY44" s="51"/>
      <c r="AZ44" s="51"/>
      <c r="BA44" s="51"/>
      <c r="BB44" s="51"/>
      <c r="BC44" s="51"/>
    </row>
    <row r="45" spans="5:55" x14ac:dyDescent="0.2">
      <c r="E45">
        <v>2100</v>
      </c>
      <c r="F45" s="51">
        <v>208966.58594445739</v>
      </c>
      <c r="G45" s="51">
        <v>183064.88567429211</v>
      </c>
      <c r="H45" s="51">
        <v>179570.08415103747</v>
      </c>
      <c r="I45" s="51">
        <v>173001.60136041671</v>
      </c>
      <c r="J45" s="51">
        <v>180580.57604883559</v>
      </c>
      <c r="K45" s="51">
        <v>144525.90689400025</v>
      </c>
      <c r="L45" s="51">
        <v>140625.43581907894</v>
      </c>
      <c r="M45" s="51">
        <v>139545.34485105879</v>
      </c>
      <c r="N45" s="51">
        <v>139767.20022167073</v>
      </c>
      <c r="O45" s="51">
        <v>131058.02294909526</v>
      </c>
      <c r="P45" s="51">
        <v>122903.13476282537</v>
      </c>
      <c r="Q45" s="51">
        <v>109006.22664569708</v>
      </c>
      <c r="R45" s="51">
        <v>116157.97777970522</v>
      </c>
      <c r="S45" s="51">
        <v>117403.68708593126</v>
      </c>
      <c r="T45" s="51">
        <v>110609.45788111068</v>
      </c>
      <c r="U45" s="51">
        <v>89286.260952397919</v>
      </c>
      <c r="V45" s="51">
        <v>98732.640529439203</v>
      </c>
      <c r="W45" s="51">
        <v>92705.589099015808</v>
      </c>
      <c r="X45" s="51">
        <v>113838.84768421132</v>
      </c>
      <c r="Y45" s="51">
        <v>85393.510651944714</v>
      </c>
      <c r="Z45" s="51">
        <v>60180.763855780591</v>
      </c>
      <c r="AA45" s="51">
        <v>94567.755103214193</v>
      </c>
      <c r="AB45" s="51">
        <v>91055.964030180738</v>
      </c>
      <c r="AC45" s="51">
        <v>68427.505908771491</v>
      </c>
      <c r="AD45" s="51">
        <v>81961.946673430662</v>
      </c>
      <c r="AE45" s="51">
        <v>54092.446309316023</v>
      </c>
      <c r="AF45" s="51">
        <v>59818.247192027549</v>
      </c>
      <c r="AG45" s="51">
        <v>49818.091710619061</v>
      </c>
      <c r="AH45" s="51">
        <v>62687.071790516151</v>
      </c>
      <c r="AI45" s="51">
        <v>53213.592149951553</v>
      </c>
      <c r="AJ45" s="51">
        <v>55039.283869821709</v>
      </c>
      <c r="AK45" s="51">
        <v>54716.908984729947</v>
      </c>
      <c r="AL45" s="51">
        <v>59017.528987564023</v>
      </c>
      <c r="AM45" s="51">
        <v>53810.418498718675</v>
      </c>
      <c r="AN45" s="51">
        <v>57101.63289534326</v>
      </c>
      <c r="AO45" s="51">
        <v>54061.101818459014</v>
      </c>
      <c r="AP45" s="51">
        <v>56414.149056631337</v>
      </c>
      <c r="AQ45" s="51">
        <v>49150.133738703837</v>
      </c>
      <c r="AR45" s="51">
        <v>49589.625931750365</v>
      </c>
      <c r="AS45" s="51">
        <v>51817.404706080517</v>
      </c>
      <c r="AT45" s="51">
        <v>60919.303628865586</v>
      </c>
      <c r="AU45" s="51">
        <v>51590.20986037176</v>
      </c>
      <c r="AV45" s="51"/>
      <c r="AW45" s="51"/>
      <c r="AX45" s="51"/>
      <c r="AY45" s="51"/>
      <c r="AZ45" s="51"/>
      <c r="BA45" s="51"/>
      <c r="BB45" s="51"/>
      <c r="BC45" s="51"/>
    </row>
    <row r="46" spans="5:55" x14ac:dyDescent="0.2">
      <c r="E46">
        <v>2150</v>
      </c>
      <c r="F46" s="51">
        <v>199753.01962662346</v>
      </c>
      <c r="G46" s="51">
        <v>180736.27699405162</v>
      </c>
      <c r="H46" s="51">
        <v>167442.20946025188</v>
      </c>
      <c r="I46" s="51">
        <v>163933.81569287617</v>
      </c>
      <c r="J46" s="51">
        <v>169541.531714579</v>
      </c>
      <c r="K46" s="51">
        <v>186216.10607717207</v>
      </c>
      <c r="L46" s="51">
        <v>143371.11604020564</v>
      </c>
      <c r="M46" s="51">
        <v>166323.15090758633</v>
      </c>
      <c r="N46" s="51">
        <v>129260.23840715834</v>
      </c>
      <c r="O46" s="51">
        <v>161863.13520793407</v>
      </c>
      <c r="P46" s="51">
        <v>152412.22155431489</v>
      </c>
      <c r="Q46" s="51">
        <v>107188.03545356494</v>
      </c>
      <c r="R46" s="51">
        <v>157302.19687703438</v>
      </c>
      <c r="S46" s="51">
        <v>71739.449633077442</v>
      </c>
      <c r="T46" s="51">
        <v>100390.11231667284</v>
      </c>
      <c r="U46" s="51">
        <v>105165.57197692421</v>
      </c>
      <c r="V46" s="51">
        <v>89870.385317924462</v>
      </c>
      <c r="W46" s="51">
        <v>67324.735224488584</v>
      </c>
      <c r="X46" s="51">
        <v>62861.983745444726</v>
      </c>
      <c r="Y46" s="51">
        <v>72989.994159138019</v>
      </c>
      <c r="Z46" s="51">
        <v>69391.464411585504</v>
      </c>
      <c r="AA46" s="51">
        <v>92019.663250973943</v>
      </c>
      <c r="AB46" s="51">
        <v>85136.193250275042</v>
      </c>
      <c r="AC46" s="51">
        <v>83371.802205131142</v>
      </c>
      <c r="AD46" s="51">
        <v>78174.205208122265</v>
      </c>
      <c r="AE46" s="51">
        <v>47719.889088859221</v>
      </c>
      <c r="AF46" s="51">
        <v>51120.026011532187</v>
      </c>
      <c r="AG46" s="51">
        <v>58170.02769511802</v>
      </c>
      <c r="AH46" s="51">
        <v>51966.884856446952</v>
      </c>
      <c r="AI46" s="51">
        <v>50501.58057266871</v>
      </c>
      <c r="AJ46" s="51">
        <v>62573.928315825411</v>
      </c>
      <c r="AK46" s="51">
        <v>57352.45275804877</v>
      </c>
      <c r="AL46" s="51">
        <v>55592.152213504582</v>
      </c>
      <c r="AM46" s="51">
        <v>54826.456513855934</v>
      </c>
      <c r="AN46" s="51">
        <v>52034.093503606025</v>
      </c>
      <c r="AO46" s="51">
        <v>51773.513425545032</v>
      </c>
      <c r="AP46" s="51">
        <v>55657.822323176886</v>
      </c>
      <c r="AQ46" s="51">
        <v>54147.873186885416</v>
      </c>
      <c r="AR46" s="51">
        <v>57700.041039361364</v>
      </c>
      <c r="AS46" s="51">
        <v>53454.567730422001</v>
      </c>
      <c r="AT46" s="51">
        <v>55592.681699567598</v>
      </c>
      <c r="AU46" s="51">
        <v>57715.619686361657</v>
      </c>
      <c r="AV46" s="51">
        <v>56087.479355939817</v>
      </c>
      <c r="AW46" s="51"/>
      <c r="AX46" s="51"/>
      <c r="AY46" s="51"/>
      <c r="AZ46" s="51"/>
      <c r="BA46" s="51"/>
      <c r="BB46" s="51"/>
      <c r="BC46" s="51"/>
    </row>
    <row r="47" spans="5:55" x14ac:dyDescent="0.2">
      <c r="E47">
        <v>2200</v>
      </c>
      <c r="F47" s="51">
        <v>196861.77347406562</v>
      </c>
      <c r="G47" s="51">
        <v>160319.35205835037</v>
      </c>
      <c r="H47" s="51">
        <v>169536.34788354734</v>
      </c>
      <c r="I47" s="51">
        <v>165012.88491008864</v>
      </c>
      <c r="J47" s="51">
        <v>189310.18451084607</v>
      </c>
      <c r="K47" s="51">
        <v>155879.96499784279</v>
      </c>
      <c r="L47" s="51">
        <v>165581.89587436433</v>
      </c>
      <c r="M47" s="51">
        <v>142851.68861897403</v>
      </c>
      <c r="N47" s="51">
        <v>123377.60240781751</v>
      </c>
      <c r="O47" s="51">
        <v>155776.65853757528</v>
      </c>
      <c r="P47" s="51">
        <v>99738.68139633644</v>
      </c>
      <c r="Q47" s="51">
        <v>130014.07764237984</v>
      </c>
      <c r="R47" s="51">
        <v>102440.48437622111</v>
      </c>
      <c r="S47" s="51">
        <v>145264.50968253269</v>
      </c>
      <c r="T47" s="51">
        <v>84734.067067602635</v>
      </c>
      <c r="U47" s="51">
        <v>111914.50927250732</v>
      </c>
      <c r="V47" s="51">
        <v>94790.071636673762</v>
      </c>
      <c r="W47" s="51">
        <v>81256.119566108871</v>
      </c>
      <c r="X47" s="51">
        <v>66758.37446803764</v>
      </c>
      <c r="Y47" s="51">
        <v>79552.537812952723</v>
      </c>
      <c r="Z47" s="51">
        <v>71963.297546883536</v>
      </c>
      <c r="AA47" s="51">
        <v>90009.852418458482</v>
      </c>
      <c r="AB47" s="51">
        <v>54026.604472064551</v>
      </c>
      <c r="AC47" s="51">
        <v>72185.721307097614</v>
      </c>
      <c r="AD47" s="51">
        <v>88236.770554646515</v>
      </c>
      <c r="AE47" s="51">
        <v>49334.701594606318</v>
      </c>
      <c r="AF47" s="51">
        <v>56267.486322871628</v>
      </c>
      <c r="AG47" s="51">
        <v>46941.13101497422</v>
      </c>
      <c r="AH47" s="51">
        <v>47371.716798506881</v>
      </c>
      <c r="AI47" s="51">
        <v>45634.700741955079</v>
      </c>
      <c r="AJ47" s="51">
        <v>56204.864063382833</v>
      </c>
      <c r="AK47" s="51">
        <v>58424.936137491401</v>
      </c>
      <c r="AL47" s="51">
        <v>52647.545978677175</v>
      </c>
      <c r="AM47" s="51">
        <v>57038.071455187499</v>
      </c>
      <c r="AN47" s="51">
        <v>51834.715931818224</v>
      </c>
      <c r="AO47" s="51">
        <v>53398.392421147051</v>
      </c>
      <c r="AP47" s="51">
        <v>63644.604356042692</v>
      </c>
      <c r="AQ47" s="51">
        <v>53336.743132506628</v>
      </c>
      <c r="AR47" s="51">
        <v>54882.860042278611</v>
      </c>
      <c r="AS47" s="51">
        <v>54804.733450166037</v>
      </c>
      <c r="AT47" s="51">
        <v>56368.335312801166</v>
      </c>
      <c r="AU47" s="51">
        <v>55931.787863604761</v>
      </c>
      <c r="AV47" s="51">
        <v>58785.04422379889</v>
      </c>
      <c r="AW47" s="51">
        <v>58111.48099570108</v>
      </c>
      <c r="AX47" s="51"/>
      <c r="AY47" s="51"/>
      <c r="AZ47" s="51"/>
      <c r="BA47" s="51"/>
      <c r="BB47" s="51"/>
      <c r="BC47" s="51"/>
    </row>
    <row r="48" spans="5:55" x14ac:dyDescent="0.2">
      <c r="E48">
        <v>2250</v>
      </c>
      <c r="F48" s="51">
        <v>185810.95198222835</v>
      </c>
      <c r="G48" s="51">
        <v>176449.43080939312</v>
      </c>
      <c r="H48" s="51">
        <v>170447.51027829695</v>
      </c>
      <c r="I48" s="51">
        <v>159629.87426842953</v>
      </c>
      <c r="J48" s="51">
        <v>173182.46631347059</v>
      </c>
      <c r="K48" s="51">
        <v>162471.53357814706</v>
      </c>
      <c r="L48" s="51">
        <v>131164.25200907065</v>
      </c>
      <c r="M48" s="51">
        <v>137817.14011443101</v>
      </c>
      <c r="N48" s="51">
        <v>123293.61865194885</v>
      </c>
      <c r="O48" s="51">
        <v>121028.18010118855</v>
      </c>
      <c r="P48" s="51">
        <v>121220.95205813678</v>
      </c>
      <c r="Q48" s="51">
        <v>138612.56984008654</v>
      </c>
      <c r="R48" s="51">
        <v>138942.41574548901</v>
      </c>
      <c r="S48" s="51">
        <v>91107.769585308532</v>
      </c>
      <c r="T48" s="51">
        <v>77897.885067030787</v>
      </c>
      <c r="U48" s="51">
        <v>115810.56584198629</v>
      </c>
      <c r="V48" s="51">
        <v>81498.754759630057</v>
      </c>
      <c r="W48" s="51">
        <v>99470.661758757255</v>
      </c>
      <c r="X48" s="51">
        <v>78684.075310180517</v>
      </c>
      <c r="Y48" s="51">
        <v>88145.927113294601</v>
      </c>
      <c r="Z48" s="51">
        <v>81102.963053570187</v>
      </c>
      <c r="AA48" s="51">
        <v>95446.775468825319</v>
      </c>
      <c r="AB48" s="51">
        <v>77461.156419451116</v>
      </c>
      <c r="AC48" s="51">
        <v>56369.957666904324</v>
      </c>
      <c r="AD48" s="51">
        <v>70800.483225849937</v>
      </c>
      <c r="AE48" s="51">
        <v>54578.019943674357</v>
      </c>
      <c r="AF48" s="51">
        <v>60368.702425369018</v>
      </c>
      <c r="AG48" s="51">
        <v>56470.83738923358</v>
      </c>
      <c r="AH48" s="51">
        <v>44758.325143980866</v>
      </c>
      <c r="AI48" s="51">
        <v>48108.01060831824</v>
      </c>
      <c r="AJ48" s="51">
        <v>48354.910348076679</v>
      </c>
      <c r="AK48" s="51">
        <v>59482.321875057089</v>
      </c>
      <c r="AL48" s="51">
        <v>48069.255824330634</v>
      </c>
      <c r="AM48" s="51">
        <v>57250.94452466596</v>
      </c>
      <c r="AN48" s="51">
        <v>51859.088966563417</v>
      </c>
      <c r="AO48" s="51">
        <v>55541.138664826933</v>
      </c>
      <c r="AP48" s="51">
        <v>51960.790106310698</v>
      </c>
      <c r="AQ48" s="51">
        <v>55432.165097058882</v>
      </c>
      <c r="AR48" s="51">
        <v>50244.951679028192</v>
      </c>
      <c r="AS48" s="51">
        <v>53623.531845994868</v>
      </c>
      <c r="AT48" s="51">
        <v>56288.335829546842</v>
      </c>
      <c r="AU48" s="51">
        <v>50495.538324909481</v>
      </c>
      <c r="AV48" s="51">
        <v>55773.34312856348</v>
      </c>
      <c r="AW48" s="51">
        <v>59443.716518207984</v>
      </c>
      <c r="AX48" s="51">
        <v>54680.035474728349</v>
      </c>
      <c r="AY48" s="51"/>
      <c r="AZ48" s="51"/>
      <c r="BA48" s="51"/>
      <c r="BB48" s="51"/>
      <c r="BC48" s="51"/>
    </row>
    <row r="49" spans="5:55" x14ac:dyDescent="0.2">
      <c r="E49">
        <v>2300</v>
      </c>
      <c r="F49" s="51">
        <v>187631.92195691931</v>
      </c>
      <c r="G49" s="51">
        <v>167539.43779858161</v>
      </c>
      <c r="H49" s="51">
        <v>144408.76279261024</v>
      </c>
      <c r="I49" s="51">
        <v>178886.60167047058</v>
      </c>
      <c r="J49" s="51">
        <v>176868.8150881477</v>
      </c>
      <c r="K49" s="51">
        <v>161614.40838834125</v>
      </c>
      <c r="L49" s="51">
        <v>169207.31865645287</v>
      </c>
      <c r="M49" s="51">
        <v>129500.50848500496</v>
      </c>
      <c r="N49" s="51">
        <v>123538.60700057702</v>
      </c>
      <c r="O49" s="51">
        <v>138519.32423972507</v>
      </c>
      <c r="P49" s="51">
        <v>144015.46753162975</v>
      </c>
      <c r="Q49" s="51">
        <v>104486.44227444091</v>
      </c>
      <c r="R49" s="51">
        <v>102972.2052456167</v>
      </c>
      <c r="S49" s="51">
        <v>104558.47250721116</v>
      </c>
      <c r="T49" s="51">
        <v>122639.93534353537</v>
      </c>
      <c r="U49" s="51">
        <v>86421.456652091627</v>
      </c>
      <c r="V49" s="51">
        <v>86236.97239090447</v>
      </c>
      <c r="W49" s="51">
        <v>98058.316524940135</v>
      </c>
      <c r="X49" s="51">
        <v>92500.323837880685</v>
      </c>
      <c r="Y49" s="51">
        <v>73855.512240593045</v>
      </c>
      <c r="Z49" s="51">
        <v>66457.408478674537</v>
      </c>
      <c r="AA49" s="51">
        <v>97143.097856003456</v>
      </c>
      <c r="AB49" s="51">
        <v>57508.039371339022</v>
      </c>
      <c r="AC49" s="51">
        <v>60267.847941755965</v>
      </c>
      <c r="AD49" s="51">
        <v>64645.573232415707</v>
      </c>
      <c r="AE49" s="51">
        <v>55158.765163789634</v>
      </c>
      <c r="AF49" s="51">
        <v>64625.401480360219</v>
      </c>
      <c r="AG49" s="51">
        <v>46273.781022973286</v>
      </c>
      <c r="AH49" s="51">
        <v>50328.361134142629</v>
      </c>
      <c r="AI49" s="51">
        <v>53748.230950346275</v>
      </c>
      <c r="AJ49" s="51">
        <v>48578.108541407717</v>
      </c>
      <c r="AK49" s="51">
        <v>48551.605452020172</v>
      </c>
      <c r="AL49" s="51">
        <v>54889.949570701669</v>
      </c>
      <c r="AM49" s="51">
        <v>55990.89622638499</v>
      </c>
      <c r="AN49" s="51">
        <v>51753.515976921197</v>
      </c>
      <c r="AO49" s="51">
        <v>53537.654452982628</v>
      </c>
      <c r="AP49" s="51">
        <v>53156.763069333108</v>
      </c>
      <c r="AQ49" s="51">
        <v>60524.914575627612</v>
      </c>
      <c r="AR49" s="51">
        <v>52360.776804981055</v>
      </c>
      <c r="AS49" s="51">
        <v>59326.60962870541</v>
      </c>
      <c r="AT49" s="51">
        <v>51899.052623203112</v>
      </c>
      <c r="AU49" s="51">
        <v>53302.958240578315</v>
      </c>
      <c r="AV49" s="51">
        <v>51967.119939087068</v>
      </c>
      <c r="AW49" s="51">
        <v>56247.471672484186</v>
      </c>
      <c r="AX49" s="51">
        <v>56498.35357003229</v>
      </c>
      <c r="AY49" s="51">
        <v>54729.430606016162</v>
      </c>
      <c r="AZ49" s="51"/>
      <c r="BA49" s="51"/>
      <c r="BB49" s="51"/>
      <c r="BC49" s="51"/>
    </row>
    <row r="50" spans="5:55" x14ac:dyDescent="0.2">
      <c r="E50">
        <v>2350</v>
      </c>
      <c r="F50" s="51">
        <v>177210.59982630104</v>
      </c>
      <c r="G50" s="51">
        <v>188758.22217393894</v>
      </c>
      <c r="H50" s="51">
        <v>162029.01041502776</v>
      </c>
      <c r="I50" s="51">
        <v>197680.56397181787</v>
      </c>
      <c r="J50" s="51">
        <v>162179.75059943614</v>
      </c>
      <c r="K50" s="51">
        <v>148269.38699863342</v>
      </c>
      <c r="L50" s="51">
        <v>171042.7647064979</v>
      </c>
      <c r="M50" s="51">
        <v>152649.84194774664</v>
      </c>
      <c r="N50" s="51">
        <v>156336.88105311425</v>
      </c>
      <c r="O50" s="51">
        <v>125699.56388965265</v>
      </c>
      <c r="P50" s="51">
        <v>128849.95147484986</v>
      </c>
      <c r="Q50" s="51">
        <v>144509.13342275372</v>
      </c>
      <c r="R50" s="51">
        <v>143651.64042384279</v>
      </c>
      <c r="S50" s="51">
        <v>107791.99230523917</v>
      </c>
      <c r="T50" s="51">
        <v>88756.879914241275</v>
      </c>
      <c r="U50" s="51">
        <v>86246.039747158051</v>
      </c>
      <c r="V50" s="51">
        <v>89510.545209197488</v>
      </c>
      <c r="W50" s="51">
        <v>113190.94930348762</v>
      </c>
      <c r="X50" s="51">
        <v>69506.390264596863</v>
      </c>
      <c r="Y50" s="51">
        <v>81424.58797284821</v>
      </c>
      <c r="Z50" s="51">
        <v>92225.687265308414</v>
      </c>
      <c r="AA50" s="51">
        <v>82054.174643179809</v>
      </c>
      <c r="AB50" s="51">
        <v>80942.065548609375</v>
      </c>
      <c r="AC50" s="51">
        <v>70721.065579512418</v>
      </c>
      <c r="AD50" s="51">
        <v>81570.6319789064</v>
      </c>
      <c r="AE50" s="51">
        <v>42838.472621491768</v>
      </c>
      <c r="AF50" s="51">
        <v>81958.682771789856</v>
      </c>
      <c r="AG50" s="51">
        <v>65268.210364939303</v>
      </c>
      <c r="AH50" s="51">
        <v>53346.588708106341</v>
      </c>
      <c r="AI50" s="51">
        <v>46939.966485325211</v>
      </c>
      <c r="AJ50" s="51">
        <v>49536.493269881597</v>
      </c>
      <c r="AK50" s="51">
        <v>45743.828993042058</v>
      </c>
      <c r="AL50" s="51">
        <v>47961.04117603373</v>
      </c>
      <c r="AM50" s="51">
        <v>52489.710254076082</v>
      </c>
      <c r="AN50" s="51">
        <v>58920.770940781957</v>
      </c>
      <c r="AO50" s="51">
        <v>53944.703076358943</v>
      </c>
      <c r="AP50" s="51">
        <v>60897.740496841514</v>
      </c>
      <c r="AQ50" s="51">
        <v>52884.619921963545</v>
      </c>
      <c r="AR50" s="51">
        <v>52453.983949206311</v>
      </c>
      <c r="AS50" s="51">
        <v>56367.431850210043</v>
      </c>
      <c r="AT50" s="51">
        <v>56986.848285667787</v>
      </c>
      <c r="AU50" s="51">
        <v>55018.682559027235</v>
      </c>
      <c r="AV50" s="51">
        <v>51523.269726830542</v>
      </c>
      <c r="AW50" s="51">
        <v>57469.197760964249</v>
      </c>
      <c r="AX50" s="51">
        <v>53685.414114927276</v>
      </c>
      <c r="AY50" s="51">
        <v>53944.250029983952</v>
      </c>
      <c r="AZ50" s="51">
        <v>57190.307483504694</v>
      </c>
      <c r="BA50" s="51"/>
      <c r="BB50" s="51"/>
      <c r="BC50" s="51"/>
    </row>
    <row r="51" spans="5:55" x14ac:dyDescent="0.2">
      <c r="E51">
        <v>2400</v>
      </c>
      <c r="F51" s="51">
        <v>162407.02739855257</v>
      </c>
      <c r="G51" s="51">
        <v>162447.44074531074</v>
      </c>
      <c r="H51" s="51">
        <v>176305.62632075499</v>
      </c>
      <c r="I51" s="51">
        <v>178478.02367033417</v>
      </c>
      <c r="J51" s="51">
        <v>120710.60136346385</v>
      </c>
      <c r="K51" s="51">
        <v>152975.59351360076</v>
      </c>
      <c r="L51" s="51">
        <v>155766.37568268925</v>
      </c>
      <c r="M51" s="51">
        <v>121467.38872378164</v>
      </c>
      <c r="N51" s="51">
        <v>135645.33054808844</v>
      </c>
      <c r="O51" s="51">
        <v>183546.32473763361</v>
      </c>
      <c r="P51" s="51">
        <v>125678.63383032627</v>
      </c>
      <c r="Q51" s="51">
        <v>107240.77437843445</v>
      </c>
      <c r="R51" s="51">
        <v>131831.42420036634</v>
      </c>
      <c r="S51" s="51">
        <v>128277.47313984913</v>
      </c>
      <c r="T51" s="51">
        <v>102184.75451292362</v>
      </c>
      <c r="U51" s="51">
        <v>101061.05092198402</v>
      </c>
      <c r="V51" s="51">
        <v>104343.19651820403</v>
      </c>
      <c r="W51" s="51">
        <v>106217.69271295208</v>
      </c>
      <c r="X51" s="51">
        <v>65242.459710223418</v>
      </c>
      <c r="Y51" s="51">
        <v>69576.455007896584</v>
      </c>
      <c r="Z51" s="51">
        <v>73355.030776904867</v>
      </c>
      <c r="AA51" s="51">
        <v>87616.264675555532</v>
      </c>
      <c r="AB51" s="51">
        <v>67515.108510466365</v>
      </c>
      <c r="AC51" s="51">
        <v>99200.273781228316</v>
      </c>
      <c r="AD51" s="51">
        <v>78434.975778424021</v>
      </c>
      <c r="AE51" s="51">
        <v>45308.354460121351</v>
      </c>
      <c r="AF51" s="51">
        <v>54411.886617736302</v>
      </c>
      <c r="AG51" s="51">
        <v>60143.121009745315</v>
      </c>
      <c r="AH51" s="51">
        <v>63926.840683448019</v>
      </c>
      <c r="AI51" s="51">
        <v>67335.027377279563</v>
      </c>
      <c r="AJ51" s="51">
        <v>55577.22859829793</v>
      </c>
      <c r="AK51" s="51">
        <v>46569.118569249316</v>
      </c>
      <c r="AL51" s="51">
        <v>49135.856544190632</v>
      </c>
      <c r="AM51" s="51">
        <v>53180.354934648873</v>
      </c>
      <c r="AN51" s="51">
        <v>54699.865297343829</v>
      </c>
      <c r="AO51" s="51">
        <v>54483.640615700329</v>
      </c>
      <c r="AP51" s="51">
        <v>57897.70239683659</v>
      </c>
      <c r="AQ51" s="51">
        <v>55924.518698143627</v>
      </c>
      <c r="AR51" s="51">
        <v>52780.351572201515</v>
      </c>
      <c r="AS51" s="51">
        <v>55276.47140076691</v>
      </c>
      <c r="AT51" s="51">
        <v>55669.467712502788</v>
      </c>
      <c r="AU51" s="51">
        <v>53447.499677090134</v>
      </c>
      <c r="AV51" s="51">
        <v>56461.113970826053</v>
      </c>
      <c r="AW51" s="51">
        <v>54393.13922268388</v>
      </c>
      <c r="AX51" s="51">
        <v>55635.607259670738</v>
      </c>
      <c r="AY51" s="51">
        <v>55873.728397171544</v>
      </c>
      <c r="AZ51" s="51">
        <v>57082.171960759712</v>
      </c>
      <c r="BA51" s="51">
        <v>57066.333807206014</v>
      </c>
      <c r="BB51" s="51"/>
      <c r="BC51" s="51"/>
    </row>
    <row r="52" spans="5:55" x14ac:dyDescent="0.2">
      <c r="E52">
        <v>2450</v>
      </c>
      <c r="F52" s="51">
        <v>184262.6538375594</v>
      </c>
      <c r="G52" s="51">
        <v>166956.48254903642</v>
      </c>
      <c r="H52" s="51">
        <v>188526.07168864176</v>
      </c>
      <c r="I52" s="51">
        <v>171383.37614608582</v>
      </c>
      <c r="J52" s="51">
        <v>172453.62646907862</v>
      </c>
      <c r="K52" s="51">
        <v>131231.23257933758</v>
      </c>
      <c r="L52" s="51">
        <v>147806.49088053533</v>
      </c>
      <c r="M52" s="51">
        <v>130655.91624185366</v>
      </c>
      <c r="N52" s="51">
        <v>138002.00767841589</v>
      </c>
      <c r="O52" s="51">
        <v>135655.4232069836</v>
      </c>
      <c r="P52" s="51">
        <v>98924.893111069716</v>
      </c>
      <c r="Q52" s="51">
        <v>105323.33013168162</v>
      </c>
      <c r="R52" s="51">
        <v>122103.16633927569</v>
      </c>
      <c r="S52" s="51">
        <v>104136.5070606393</v>
      </c>
      <c r="T52" s="51">
        <v>114482.29058710601</v>
      </c>
      <c r="U52" s="51">
        <v>78044.21262923567</v>
      </c>
      <c r="V52" s="51">
        <v>101556.02653768522</v>
      </c>
      <c r="W52" s="51">
        <v>97837.340065302109</v>
      </c>
      <c r="X52" s="51">
        <v>102167.35420369575</v>
      </c>
      <c r="Y52" s="51">
        <v>67645.351632027654</v>
      </c>
      <c r="Z52" s="51">
        <v>80335.556546676919</v>
      </c>
      <c r="AA52" s="51">
        <v>66575.246792203456</v>
      </c>
      <c r="AB52" s="51">
        <v>76211.41609903585</v>
      </c>
      <c r="AC52" s="51">
        <v>68791.742856636687</v>
      </c>
      <c r="AD52" s="51">
        <v>54696.462260318716</v>
      </c>
      <c r="AE52" s="51">
        <v>77084.175138863284</v>
      </c>
      <c r="AF52" s="51">
        <v>59081.132599174824</v>
      </c>
      <c r="AG52" s="51">
        <v>64553.683349688261</v>
      </c>
      <c r="AH52" s="51">
        <v>54152.355610230006</v>
      </c>
      <c r="AI52" s="51">
        <v>64433.617554620461</v>
      </c>
      <c r="AJ52" s="51">
        <v>52170.884739921217</v>
      </c>
      <c r="AK52" s="51">
        <v>71536.517545042574</v>
      </c>
      <c r="AL52" s="51">
        <v>50801.204361321121</v>
      </c>
      <c r="AM52" s="51">
        <v>51539.914470316777</v>
      </c>
      <c r="AN52" s="51">
        <v>51743.511758301058</v>
      </c>
      <c r="AO52" s="51">
        <v>53457.236889680411</v>
      </c>
      <c r="AP52" s="51">
        <v>51963.209609622885</v>
      </c>
      <c r="AQ52" s="51">
        <v>53578.184594750259</v>
      </c>
      <c r="AR52" s="51">
        <v>56066.386817816601</v>
      </c>
      <c r="AS52" s="51">
        <v>54304.249156991995</v>
      </c>
      <c r="AT52" s="51">
        <v>60216.929755351535</v>
      </c>
      <c r="AU52" s="51">
        <v>54702.119467266988</v>
      </c>
      <c r="AV52" s="51">
        <v>56070.387677902858</v>
      </c>
      <c r="AW52" s="51">
        <v>56582.146609501448</v>
      </c>
      <c r="AX52" s="51">
        <v>55358.114152344948</v>
      </c>
      <c r="AY52" s="51">
        <v>57594.388639052391</v>
      </c>
      <c r="AZ52" s="51">
        <v>55658.559038406915</v>
      </c>
      <c r="BA52" s="51">
        <v>55893.216745175218</v>
      </c>
      <c r="BB52" s="51">
        <v>58676.719299241988</v>
      </c>
      <c r="BC52" s="51"/>
    </row>
    <row r="53" spans="5:55" x14ac:dyDescent="0.2">
      <c r="E53">
        <v>2500</v>
      </c>
      <c r="F53" s="51">
        <v>177718.33423384471</v>
      </c>
      <c r="G53" s="51">
        <v>169216.00443307735</v>
      </c>
      <c r="H53" s="51">
        <v>167515.19949082579</v>
      </c>
      <c r="I53" s="51">
        <v>145013.52810782765</v>
      </c>
      <c r="J53" s="51">
        <v>141341.36555096475</v>
      </c>
      <c r="K53" s="51">
        <v>142880.08843622333</v>
      </c>
      <c r="L53" s="51">
        <v>160869.2215643246</v>
      </c>
      <c r="M53" s="51">
        <v>150534.39746368793</v>
      </c>
      <c r="N53" s="51">
        <v>101953.81052642236</v>
      </c>
      <c r="O53" s="51">
        <v>123244.35155710699</v>
      </c>
      <c r="P53" s="51">
        <v>101978.4636241602</v>
      </c>
      <c r="Q53" s="51">
        <v>80327.240300921083</v>
      </c>
      <c r="R53" s="51">
        <v>131499.0865317737</v>
      </c>
      <c r="S53" s="51">
        <v>110090.1940313746</v>
      </c>
      <c r="T53" s="51">
        <v>115839.14458684111</v>
      </c>
      <c r="U53" s="51">
        <v>94717.262867328347</v>
      </c>
      <c r="V53" s="51">
        <v>115378.72281070377</v>
      </c>
      <c r="W53" s="51">
        <v>56309.67999621627</v>
      </c>
      <c r="X53" s="51">
        <v>74189.838504281259</v>
      </c>
      <c r="Y53" s="51">
        <v>80990.077995775428</v>
      </c>
      <c r="Z53" s="51">
        <v>84894.852575642988</v>
      </c>
      <c r="AA53" s="51">
        <v>117939.99001377524</v>
      </c>
      <c r="AB53" s="51">
        <v>72186.028181420217</v>
      </c>
      <c r="AC53" s="51">
        <v>74264.532696380935</v>
      </c>
      <c r="AD53" s="51">
        <v>77826.577352736815</v>
      </c>
      <c r="AE53" s="51">
        <v>65440.86783044404</v>
      </c>
      <c r="AF53" s="51">
        <v>88926.570202751507</v>
      </c>
      <c r="AG53" s="51">
        <v>55440.384558057434</v>
      </c>
      <c r="AH53" s="51">
        <v>55356.402586961478</v>
      </c>
      <c r="AI53" s="51">
        <v>66426.096824826847</v>
      </c>
      <c r="AJ53" s="51">
        <v>71484.39453543631</v>
      </c>
      <c r="AK53" s="51">
        <v>50904.679650354599</v>
      </c>
      <c r="AL53" s="51">
        <v>57526.581874682728</v>
      </c>
      <c r="AM53" s="51">
        <v>50205.326793087246</v>
      </c>
      <c r="AN53" s="51">
        <v>53389.579843700463</v>
      </c>
      <c r="AO53" s="51">
        <v>53312.668150171579</v>
      </c>
      <c r="AP53" s="51">
        <v>62319.331732810089</v>
      </c>
      <c r="AQ53" s="51">
        <v>55808.655149536338</v>
      </c>
      <c r="AR53" s="51">
        <v>58859.241441455524</v>
      </c>
      <c r="AS53" s="51">
        <v>58520.673535516245</v>
      </c>
      <c r="AT53" s="51">
        <v>57324.482809585235</v>
      </c>
      <c r="AU53" s="51">
        <v>59253.003958516107</v>
      </c>
      <c r="AV53" s="51">
        <v>56615.774034316913</v>
      </c>
      <c r="AW53" s="51">
        <v>57005.07251400542</v>
      </c>
      <c r="AX53" s="51">
        <v>57769.501102699716</v>
      </c>
      <c r="AY53" s="51">
        <v>57300.984102887203</v>
      </c>
      <c r="AZ53" s="51">
        <v>58082.162180585321</v>
      </c>
      <c r="BA53" s="51">
        <v>56686.955860178627</v>
      </c>
      <c r="BB53" s="51">
        <v>58760.499921687144</v>
      </c>
      <c r="BC53" s="51">
        <v>56927.711306648554</v>
      </c>
    </row>
    <row r="54" spans="5:55" x14ac:dyDescent="0.2"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</row>
  </sheetData>
  <conditionalFormatting sqref="F4:BC53">
    <cfRule type="top10" dxfId="0" priority="1" bottom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imulate.Simulate">
                <anchor moveWithCells="1" sizeWithCells="1">
                  <from>
                    <xdr:col>0</xdr:col>
                    <xdr:colOff>635000</xdr:colOff>
                    <xdr:row>7</xdr:row>
                    <xdr:rowOff>12700</xdr:rowOff>
                  </from>
                  <to>
                    <xdr:col>2</xdr:col>
                    <xdr:colOff>508000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8026C-A85F-6F44-9CC8-85148D237676}">
  <sheetPr codeName="Sheet2"/>
  <dimension ref="A2:BD54"/>
  <sheetViews>
    <sheetView zoomScale="44" zoomScaleNormal="48" workbookViewId="0">
      <selection activeCell="T47" sqref="T47"/>
    </sheetView>
  </sheetViews>
  <sheetFormatPr baseColWidth="10" defaultRowHeight="15" x14ac:dyDescent="0.2"/>
  <cols>
    <col min="2" max="2" width="8.6640625" customWidth="1"/>
    <col min="4" max="4" width="13" bestFit="1" customWidth="1"/>
    <col min="5" max="5" width="9.1640625" style="55" customWidth="1"/>
    <col min="6" max="6" width="8.83203125" style="55" customWidth="1"/>
    <col min="7" max="55" width="8.83203125" style="55" bestFit="1" customWidth="1"/>
    <col min="56" max="56" width="10.83203125" style="55"/>
  </cols>
  <sheetData>
    <row r="2" spans="1:55" x14ac:dyDescent="0.2">
      <c r="A2" t="s">
        <v>2</v>
      </c>
      <c r="B2" s="28">
        <v>2500</v>
      </c>
    </row>
    <row r="3" spans="1:55" x14ac:dyDescent="0.2">
      <c r="A3" t="s">
        <v>5</v>
      </c>
      <c r="B3">
        <v>1433.370593595354</v>
      </c>
      <c r="D3" t="s">
        <v>53</v>
      </c>
      <c r="F3" s="56">
        <f ca="1">E4+(($C$8*$C$11)/2)-SQRT((2*$C$8*$C$9)/$C$10)</f>
        <v>-1010.5780848515383</v>
      </c>
      <c r="G3" s="56">
        <f ca="1">E5+(($C$8*$C$11)/2)-SQRT((2*$C$8*$C$9)/$C$10)</f>
        <v>-960.57808485153828</v>
      </c>
      <c r="H3" s="56">
        <f ca="1">E6+(($C$8*$C$11)/2)-SQRT((2*$C$8*$C$9)/$C$10)</f>
        <v>-910.57808485153828</v>
      </c>
      <c r="I3" s="56">
        <f ca="1">E7+(($C$8*$C$11)/2)-SQRT((2*$C$8*$C$9)/$C$10)</f>
        <v>-860.57808485153828</v>
      </c>
      <c r="J3" s="56">
        <f ca="1">E8+(($C$8*$C$11)/2)-SQRT((2*$C$8*$C$9)/$C$10)</f>
        <v>-810.57808485153828</v>
      </c>
      <c r="K3" s="55">
        <f ca="1">E9+(($C$8*$C$11)/2)-SQRT((2*$C$8*$C$9)/$C$10)</f>
        <v>-760.57808485153828</v>
      </c>
      <c r="L3" s="55">
        <f ca="1">E10+(($C$8*$C$11)/2)-SQRT((2*$C$8*$C$9)/$C$10)</f>
        <v>-710.57808485153828</v>
      </c>
      <c r="M3" s="57">
        <f ca="1">E11+(($C$8*$C$11)/2)-SQRT((2*$C$8*$C$9)/$C$10)</f>
        <v>-660.57808485153828</v>
      </c>
      <c r="N3" s="55">
        <f ca="1">E12+(($C$8*$C$11)/2)-SQRT((2*$C$8*$C$9)/$C$10)</f>
        <v>-610.57808485153828</v>
      </c>
      <c r="O3" s="56">
        <f ca="1">E13+(($C$8*$C$11)/2)-SQRT((2*$C$8*$C$9)/$C$10)</f>
        <v>-560.57808485153828</v>
      </c>
      <c r="P3" s="56">
        <f ca="1">E14+(($C$8*$C$11)/2)-SQRT((2*$C$8*$C$9)/$C$10)</f>
        <v>-510.57808485153828</v>
      </c>
      <c r="Q3" s="56">
        <f ca="1">E15+(($C$8*$C$11)/2)-SQRT((2*$C$8*$C$9)/$C$10)</f>
        <v>-460.57808485153828</v>
      </c>
      <c r="R3" s="56">
        <f ca="1">E16+(($C$8*$C$11)/2)-SQRT((2*$C$8*$C$9)/$C$10)</f>
        <v>-410.57808485153828</v>
      </c>
      <c r="S3" s="56">
        <f ca="1">E17+(($C$8*$C$11)/2)-SQRT((2*$C$8*$C$9)/$C$10)</f>
        <v>-360.57808485153828</v>
      </c>
      <c r="T3" s="55">
        <f ca="1">E18+(($C$8*$C$11)/2)-SQRT((2*$C$8*$C$9)/$C$10)</f>
        <v>-310.57808485153828</v>
      </c>
      <c r="U3" s="55">
        <f ca="1">E19+(($C$8*$C$11)/2)-SQRT((2*$C$8*$C$9)/$C$10)</f>
        <v>-260.57808485153828</v>
      </c>
      <c r="V3" s="57">
        <f ca="1">E20+(($C$8*$C$11)/2)-SQRT((2*$C$8*$C$9)/$C$10)</f>
        <v>-210.57808485153828</v>
      </c>
      <c r="W3" s="55">
        <f ca="1">E21+(($C$8*$C$11)/2)-SQRT((2*$C$8*$C$9)/$C$10)</f>
        <v>-160.57808485153828</v>
      </c>
      <c r="X3" s="56">
        <f ca="1">E22+(($C$8*$C$11)/2)-SQRT((2*$C$8*$C$9)/$C$10)</f>
        <v>-110.57808485153828</v>
      </c>
      <c r="Y3" s="56">
        <f ca="1">E23+(($C$8*$C$11)/2)-SQRT((2*$C$8*$C$9)/$C$10)</f>
        <v>-60.578084851538279</v>
      </c>
      <c r="Z3" s="56">
        <f ca="1">E24+(($C$8*$C$11)/2)-SQRT((2*$C$8*$C$9)/$C$10)</f>
        <v>-10.578084851538279</v>
      </c>
      <c r="AA3" s="56">
        <f ca="1">E25+(($C$8*$C$11)/2)-SQRT((2*$C$8*$C$9)/$C$10)</f>
        <v>39.421915148461721</v>
      </c>
      <c r="AB3" s="56">
        <f ca="1">E26+(($C$8*$C$11)/2)-SQRT((2*$C$8*$C$9)/$C$10)</f>
        <v>89.421915148461721</v>
      </c>
      <c r="AC3" s="55">
        <f ca="1">E27+(($C$8*$C$11)/2)-SQRT((2*$C$8*$C$9)/$C$10)</f>
        <v>139.42191514846172</v>
      </c>
      <c r="AD3" s="55">
        <f ca="1">E28+(($C$8*$C$11)/2)-SQRT((2*$C$8*$C$9)/$C$10)</f>
        <v>189.42191514846172</v>
      </c>
      <c r="AE3" s="57">
        <f ca="1">E29+(($C$8*$C$11)/2)-SQRT((2*$C$8*$C$9)/$C$10)</f>
        <v>239.42191514846172</v>
      </c>
      <c r="AF3" s="55">
        <f ca="1">E30+(($C$8*$C$11)/2)-SQRT((2*$C$8*$C$9)/$C$10)</f>
        <v>289.42191514846172</v>
      </c>
      <c r="AG3" s="56">
        <f ca="1">E31+(($C$8*$C$11)/2)-SQRT((2*$C$8*$C$9)/$C$10)</f>
        <v>339.42191514846172</v>
      </c>
      <c r="AH3" s="56">
        <f ca="1">E32+(($C$8*$C$11)/2)-SQRT((2*$C$8*$C$9)/$C$10)</f>
        <v>389.42191514846172</v>
      </c>
      <c r="AI3" s="56">
        <f ca="1">E33+(($C$8*$C$11)/2)-SQRT((2*$C$8*$C$9)/$C$10)</f>
        <v>439.42191514846172</v>
      </c>
      <c r="AJ3" s="56">
        <f ca="1">E34+(($C$8*$C$11)/2)-SQRT((2*$C$8*$C$9)/$C$10)</f>
        <v>489.42191514846172</v>
      </c>
      <c r="AK3" s="56">
        <f ca="1">E35+(($C$8*$C$11)/2)-SQRT((2*$C$8*$C$9)/$C$10)</f>
        <v>539.42191514846172</v>
      </c>
      <c r="AL3" s="55">
        <f ca="1">E36+(($C$8*$C$11)/2)-SQRT((2*$C$8*$C$9)/$C$10)</f>
        <v>589.42191514846172</v>
      </c>
      <c r="AM3" s="55">
        <f ca="1">E37+(($C$8*$C$11)/2)-SQRT((2*$C$8*$C$9)/$C$10)</f>
        <v>639.42191514846172</v>
      </c>
      <c r="AN3" s="57">
        <f ca="1">E38+(($C$8*$C$11)/2)-SQRT((2*$C$8*$C$9)/$C$10)</f>
        <v>689.42191514846172</v>
      </c>
      <c r="AO3" s="55">
        <f ca="1">E39+(($C$8*$C$11)/2)-SQRT((2*$C$8*$C$9)/$C$10)</f>
        <v>739.42191514846172</v>
      </c>
      <c r="AP3" s="56">
        <f ca="1">E40+(($C$8*$C$11)/2)-SQRT((2*$C$8*$C$9)/$C$10)</f>
        <v>789.42191514846172</v>
      </c>
      <c r="AQ3" s="56">
        <f ca="1">E41+(($C$8*$C$11)/2)-SQRT((2*$C$8*$C$9)/$C$10)</f>
        <v>839.42191514846172</v>
      </c>
      <c r="AR3" s="56">
        <f ca="1">E42+(($C$8*$C$11)/2)-SQRT((2*$C$8*$C$9)/$C$10)</f>
        <v>889.42191514846172</v>
      </c>
      <c r="AS3" s="56">
        <f ca="1">E43+(($C$8*$C$11)/2)-SQRT((2*$C$8*$C$9)/$C$10)</f>
        <v>939.42191514846172</v>
      </c>
      <c r="AT3" s="56">
        <f ca="1">E44+(($C$8*$C$11)/2)-SQRT((2*$C$8*$C$9)/$C$10)</f>
        <v>989.42191514846172</v>
      </c>
      <c r="AU3" s="55">
        <f ca="1">E45+(($C$8*$C$11)/2)-SQRT((2*$C$8*$C$9)/$C$10)</f>
        <v>1039.4219151484617</v>
      </c>
      <c r="AV3" s="55">
        <f ca="1">E46+(($C$8*$C$11)/2)-SQRT((2*$C$8*$C$9)/$C$10)</f>
        <v>1089.4219151484617</v>
      </c>
      <c r="AW3" s="57">
        <f ca="1">E47+(($C$8*$C$11)/2)-SQRT((2*$C$8*$C$9)/$C$10)</f>
        <v>1139.4219151484617</v>
      </c>
      <c r="AX3" s="55">
        <f ca="1">E48+(($C$8*$C$11)/2)-SQRT((2*$C$8*$C$9)/$C$10)</f>
        <v>1189.4219151484617</v>
      </c>
      <c r="AY3" s="56">
        <f ca="1">E49+(($C$8*$C$11)/2)-SQRT((2*$C$8*$C$9)/$C$10)</f>
        <v>1239.4219151484617</v>
      </c>
      <c r="AZ3" s="56">
        <f ca="1">E50+(($C$8*$C$11)/2)-SQRT((2*$C$8*$C$9)/$C$10)</f>
        <v>1289.4219151484617</v>
      </c>
      <c r="BA3" s="56">
        <f ca="1">E51+(($C$8*$C$11)/2)-SQRT((2*$C$8*$C$9)/$C$10)</f>
        <v>1339.4219151484617</v>
      </c>
      <c r="BB3" s="56">
        <f ca="1">E52+(($C$8*$C$11)/2)-SQRT((2*$C$8*$C$9)/$C$10)</f>
        <v>1389.4219151484617</v>
      </c>
      <c r="BC3" s="56">
        <f ca="1">E53+(($C$8*$C$11)/2)-SQRT((2*$C$8*$C$9)/$C$10)</f>
        <v>1439.4219151484617</v>
      </c>
    </row>
    <row r="4" spans="1:55" x14ac:dyDescent="0.2">
      <c r="D4" s="52">
        <f ca="1">'Modelo de Simulação'!R55</f>
        <v>2504095.3372215917</v>
      </c>
      <c r="E4" s="55">
        <v>50</v>
      </c>
      <c r="F4" s="56"/>
      <c r="G4" s="57"/>
      <c r="H4" s="57"/>
      <c r="I4" s="57"/>
      <c r="J4" s="57"/>
      <c r="K4" s="57"/>
      <c r="L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</row>
    <row r="5" spans="1:55" x14ac:dyDescent="0.2">
      <c r="E5" s="55">
        <v>100</v>
      </c>
      <c r="F5" s="58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</row>
    <row r="6" spans="1:55" x14ac:dyDescent="0.2">
      <c r="A6" s="20"/>
      <c r="B6" s="54"/>
      <c r="C6" s="54"/>
      <c r="D6" s="20"/>
      <c r="E6" s="55">
        <v>150</v>
      </c>
      <c r="F6" s="57"/>
      <c r="G6" s="58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</row>
    <row r="7" spans="1:55" x14ac:dyDescent="0.2">
      <c r="A7" s="20"/>
      <c r="D7" s="20"/>
      <c r="E7" s="55">
        <v>200</v>
      </c>
      <c r="F7" s="58"/>
      <c r="G7" s="58"/>
      <c r="H7" s="58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</row>
    <row r="8" spans="1:55" x14ac:dyDescent="0.2">
      <c r="A8" s="20"/>
      <c r="B8" s="22" t="s">
        <v>71</v>
      </c>
      <c r="C8" s="12">
        <f ca="1">'Modelo de Simulação'!R25</f>
        <v>427.2054978935771</v>
      </c>
      <c r="D8" s="20"/>
      <c r="E8" s="55">
        <v>250</v>
      </c>
      <c r="F8" s="57"/>
      <c r="G8" s="58"/>
      <c r="H8" s="58"/>
      <c r="I8" s="58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</row>
    <row r="9" spans="1:55" x14ac:dyDescent="0.2">
      <c r="A9" s="20"/>
      <c r="B9" s="22" t="s">
        <v>72</v>
      </c>
      <c r="C9" s="12">
        <f>Enunciado!D23</f>
        <v>900</v>
      </c>
      <c r="D9" s="20"/>
      <c r="E9" s="55">
        <v>300</v>
      </c>
      <c r="F9" s="58"/>
      <c r="G9" s="58"/>
      <c r="H9" s="58"/>
      <c r="I9" s="58"/>
      <c r="J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</row>
    <row r="10" spans="1:55" x14ac:dyDescent="0.2">
      <c r="A10" s="20"/>
      <c r="B10" s="22" t="s">
        <v>73</v>
      </c>
      <c r="C10" s="12">
        <f>'Modelo de Simulação'!R19*'Modelo de Simulação'!R10</f>
        <v>0.34739999999999999</v>
      </c>
      <c r="D10" s="20"/>
      <c r="E10" s="55">
        <v>350</v>
      </c>
      <c r="F10" s="57"/>
      <c r="G10" s="58"/>
      <c r="H10" s="58"/>
      <c r="I10" s="58"/>
      <c r="J10" s="58"/>
      <c r="K10" s="58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</row>
    <row r="11" spans="1:55" x14ac:dyDescent="0.2">
      <c r="B11" s="22" t="s">
        <v>0</v>
      </c>
      <c r="C11" s="12">
        <f>Enunciado!C31</f>
        <v>2</v>
      </c>
      <c r="E11" s="55">
        <v>400</v>
      </c>
      <c r="F11" s="58"/>
      <c r="G11" s="58"/>
      <c r="H11" s="58"/>
      <c r="I11" s="58"/>
      <c r="J11" s="58"/>
      <c r="K11" s="58"/>
      <c r="L11" s="58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</row>
    <row r="12" spans="1:55" x14ac:dyDescent="0.2">
      <c r="E12" s="55">
        <v>450</v>
      </c>
      <c r="F12" s="57"/>
      <c r="G12" s="58"/>
      <c r="H12" s="58"/>
      <c r="I12" s="58"/>
      <c r="J12" s="58"/>
      <c r="K12" s="58"/>
      <c r="L12" s="58"/>
      <c r="M12" s="58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</row>
    <row r="13" spans="1:55" x14ac:dyDescent="0.2">
      <c r="E13" s="55">
        <v>500</v>
      </c>
      <c r="F13" s="58"/>
      <c r="G13" s="58"/>
      <c r="H13" s="58"/>
      <c r="I13" s="58"/>
      <c r="J13" s="58"/>
      <c r="K13" s="58"/>
      <c r="L13" s="58"/>
      <c r="M13" s="58"/>
      <c r="N13" s="58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</row>
    <row r="14" spans="1:55" x14ac:dyDescent="0.2">
      <c r="E14" s="55">
        <v>550</v>
      </c>
      <c r="F14" s="57"/>
      <c r="G14" s="58"/>
      <c r="H14" s="58"/>
      <c r="I14" s="58"/>
      <c r="J14" s="58"/>
      <c r="K14" s="58"/>
      <c r="L14" s="58"/>
      <c r="M14" s="58"/>
      <c r="N14" s="58"/>
      <c r="O14" s="58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</row>
    <row r="15" spans="1:55" x14ac:dyDescent="0.2">
      <c r="E15" s="55">
        <v>600</v>
      </c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</row>
    <row r="16" spans="1:55" x14ac:dyDescent="0.2">
      <c r="E16" s="55">
        <v>650</v>
      </c>
      <c r="F16" s="57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</row>
    <row r="17" spans="5:55" x14ac:dyDescent="0.2">
      <c r="E17" s="55">
        <v>700</v>
      </c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</row>
    <row r="18" spans="5:55" x14ac:dyDescent="0.2">
      <c r="E18" s="55">
        <v>750</v>
      </c>
      <c r="F18" s="57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</row>
    <row r="19" spans="5:55" x14ac:dyDescent="0.2">
      <c r="E19" s="55">
        <v>800</v>
      </c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</row>
    <row r="20" spans="5:55" x14ac:dyDescent="0.2">
      <c r="E20" s="55">
        <v>850</v>
      </c>
      <c r="F20" s="57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</row>
    <row r="21" spans="5:55" x14ac:dyDescent="0.2">
      <c r="E21" s="55">
        <v>900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</row>
    <row r="22" spans="5:55" x14ac:dyDescent="0.2">
      <c r="E22" s="55">
        <v>950</v>
      </c>
      <c r="F22" s="57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</row>
    <row r="23" spans="5:55" x14ac:dyDescent="0.2">
      <c r="E23" s="55">
        <v>1000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</row>
    <row r="24" spans="5:55" x14ac:dyDescent="0.2">
      <c r="E24" s="55">
        <v>1050</v>
      </c>
      <c r="F24" s="57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</row>
    <row r="25" spans="5:55" x14ac:dyDescent="0.2">
      <c r="E25" s="55">
        <v>1100</v>
      </c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5">
        <v>1466576.8827288647</v>
      </c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</row>
    <row r="26" spans="5:55" x14ac:dyDescent="0.2">
      <c r="E26" s="55">
        <v>1150</v>
      </c>
      <c r="F26" s="57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5">
        <v>1223539.3290948186</v>
      </c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</row>
    <row r="27" spans="5:55" x14ac:dyDescent="0.2">
      <c r="E27" s="55">
        <v>1200</v>
      </c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5">
        <v>1634686.9439571919</v>
      </c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</row>
    <row r="28" spans="5:55" x14ac:dyDescent="0.2">
      <c r="E28" s="55">
        <v>1250</v>
      </c>
      <c r="F28" s="57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5">
        <v>1547357.9805150374</v>
      </c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</row>
    <row r="29" spans="5:55" x14ac:dyDescent="0.2">
      <c r="E29" s="55">
        <v>1300</v>
      </c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5">
        <v>1492297.5940909749</v>
      </c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</row>
    <row r="30" spans="5:55" x14ac:dyDescent="0.2">
      <c r="E30" s="55">
        <v>1350</v>
      </c>
      <c r="F30" s="57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5">
        <v>1616711.9104190394</v>
      </c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</row>
    <row r="31" spans="5:55" x14ac:dyDescent="0.2">
      <c r="E31" s="55">
        <v>1400</v>
      </c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5">
        <v>1636037.581734583</v>
      </c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</row>
    <row r="32" spans="5:55" x14ac:dyDescent="0.2">
      <c r="E32" s="55">
        <v>1450</v>
      </c>
      <c r="F32" s="57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5">
        <v>1708327.1075716703</v>
      </c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</row>
    <row r="33" spans="5:55" x14ac:dyDescent="0.2">
      <c r="E33" s="55">
        <v>1500</v>
      </c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5">
        <v>1833364.8584473254</v>
      </c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</row>
    <row r="34" spans="5:55" x14ac:dyDescent="0.2">
      <c r="E34" s="55">
        <v>1550</v>
      </c>
      <c r="F34" s="57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5">
        <v>1801064.2608395251</v>
      </c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</row>
    <row r="35" spans="5:55" x14ac:dyDescent="0.2">
      <c r="E35" s="55">
        <v>1600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5">
        <v>1974739.2209001232</v>
      </c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</row>
    <row r="36" spans="5:55" x14ac:dyDescent="0.2">
      <c r="E36" s="55">
        <v>1650</v>
      </c>
      <c r="F36" s="57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5">
        <v>1922647.2473246772</v>
      </c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</row>
    <row r="37" spans="5:55" x14ac:dyDescent="0.2">
      <c r="E37" s="55">
        <v>1700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5">
        <v>1986625.3249316218</v>
      </c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</row>
    <row r="38" spans="5:55" x14ac:dyDescent="0.2">
      <c r="E38" s="55">
        <v>1750</v>
      </c>
      <c r="F38" s="57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5">
        <v>2060792.9350748691</v>
      </c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</row>
    <row r="39" spans="5:55" x14ac:dyDescent="0.2">
      <c r="E39" s="55">
        <v>1800</v>
      </c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5">
        <v>2267042.8002817482</v>
      </c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</row>
    <row r="40" spans="5:55" x14ac:dyDescent="0.2">
      <c r="E40" s="55">
        <v>1850</v>
      </c>
      <c r="F40" s="57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5">
        <v>2143269.8609793433</v>
      </c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</row>
    <row r="41" spans="5:55" x14ac:dyDescent="0.2">
      <c r="E41" s="55">
        <v>1900</v>
      </c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5">
        <v>2161399.6676076013</v>
      </c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</row>
    <row r="42" spans="5:55" x14ac:dyDescent="0.2">
      <c r="E42" s="55">
        <v>1950</v>
      </c>
      <c r="F42" s="57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5">
        <v>2181257.267579102</v>
      </c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</row>
    <row r="43" spans="5:55" x14ac:dyDescent="0.2">
      <c r="E43" s="55">
        <v>2000</v>
      </c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5">
        <v>2185788.6949026226</v>
      </c>
      <c r="AT43" s="57"/>
      <c r="AU43" s="57"/>
      <c r="AV43" s="57"/>
      <c r="AW43" s="57"/>
      <c r="AX43" s="57"/>
      <c r="AY43" s="57"/>
      <c r="AZ43" s="57"/>
      <c r="BA43" s="57"/>
      <c r="BB43" s="57"/>
      <c r="BC43" s="57"/>
    </row>
    <row r="44" spans="5:55" x14ac:dyDescent="0.2">
      <c r="E44" s="55">
        <v>2050</v>
      </c>
      <c r="F44" s="57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5">
        <v>2289841.2164391973</v>
      </c>
      <c r="AU44" s="57"/>
      <c r="AV44" s="57"/>
      <c r="AW44" s="57"/>
      <c r="AX44" s="57"/>
      <c r="AY44" s="57"/>
      <c r="AZ44" s="57"/>
      <c r="BA44" s="57"/>
      <c r="BB44" s="57"/>
      <c r="BC44" s="57"/>
    </row>
    <row r="45" spans="5:55" x14ac:dyDescent="0.2">
      <c r="E45" s="55">
        <v>2100</v>
      </c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5">
        <v>2205709.7627099301</v>
      </c>
      <c r="AW45" s="57"/>
      <c r="AX45" s="57"/>
      <c r="AY45" s="57"/>
      <c r="AZ45" s="57"/>
      <c r="BA45" s="57"/>
      <c r="BB45" s="57"/>
      <c r="BC45" s="57"/>
    </row>
    <row r="46" spans="5:55" x14ac:dyDescent="0.2">
      <c r="E46" s="55">
        <v>2150</v>
      </c>
      <c r="F46" s="57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5">
        <v>2305101.6528141615</v>
      </c>
      <c r="AW46" s="57"/>
      <c r="AX46" s="57"/>
      <c r="AY46" s="57"/>
      <c r="AZ46" s="57"/>
      <c r="BA46" s="57"/>
      <c r="BB46" s="57"/>
      <c r="BC46" s="57"/>
    </row>
    <row r="47" spans="5:55" x14ac:dyDescent="0.2">
      <c r="E47" s="55">
        <v>2200</v>
      </c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5">
        <v>2462176.2340542004</v>
      </c>
      <c r="AX47" s="57"/>
      <c r="AY47" s="57"/>
      <c r="AZ47" s="57"/>
      <c r="BA47" s="57"/>
      <c r="BB47" s="57"/>
      <c r="BC47" s="57"/>
    </row>
    <row r="48" spans="5:55" x14ac:dyDescent="0.2">
      <c r="E48" s="55">
        <v>2250</v>
      </c>
      <c r="F48" s="57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5">
        <v>2338965.872346411</v>
      </c>
      <c r="AY48" s="57"/>
      <c r="AZ48" s="57"/>
      <c r="BA48" s="57"/>
      <c r="BB48" s="57"/>
      <c r="BC48" s="57"/>
    </row>
    <row r="49" spans="5:55" x14ac:dyDescent="0.2">
      <c r="E49" s="55">
        <v>2300</v>
      </c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5">
        <v>2289328.6980290888</v>
      </c>
      <c r="AZ49" s="57"/>
      <c r="BA49" s="57"/>
      <c r="BB49" s="57"/>
      <c r="BC49" s="57"/>
    </row>
    <row r="50" spans="5:55" x14ac:dyDescent="0.2">
      <c r="E50" s="55">
        <v>2350</v>
      </c>
      <c r="F50" s="57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  <c r="AW50" s="58"/>
      <c r="AX50" s="58"/>
      <c r="AY50" s="58"/>
      <c r="AZ50" s="55">
        <v>2335734.8118416383</v>
      </c>
      <c r="BA50" s="57"/>
      <c r="BB50" s="57"/>
      <c r="BC50" s="57"/>
    </row>
    <row r="51" spans="5:55" x14ac:dyDescent="0.2">
      <c r="E51" s="55">
        <v>2400</v>
      </c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  <c r="AW51" s="58"/>
      <c r="AX51" s="58"/>
      <c r="AY51" s="58"/>
      <c r="AZ51" s="58"/>
      <c r="BA51" s="55">
        <v>2477751.2938979799</v>
      </c>
      <c r="BB51" s="57"/>
      <c r="BC51" s="57"/>
    </row>
    <row r="52" spans="5:55" x14ac:dyDescent="0.2">
      <c r="E52" s="55">
        <v>2450</v>
      </c>
      <c r="F52" s="57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5">
        <v>2319420.0781275746</v>
      </c>
      <c r="BC52" s="57"/>
    </row>
    <row r="53" spans="5:55" x14ac:dyDescent="0.2">
      <c r="E53" s="55">
        <v>2500</v>
      </c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58"/>
      <c r="BC53" s="55">
        <v>2394910.7422079965</v>
      </c>
    </row>
    <row r="54" spans="5:55" x14ac:dyDescent="0.2"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58"/>
      <c r="BC54" s="58"/>
    </row>
  </sheetData>
  <conditionalFormatting sqref="F5:BC54 F4:L4 N4:BC4 M3 V3 AE3 AN3 AW3">
    <cfRule type="top10" dxfId="1" priority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sSimulate.SsSimulate">
                <anchor moveWithCells="1" sizeWithCells="1">
                  <from>
                    <xdr:col>0</xdr:col>
                    <xdr:colOff>673100</xdr:colOff>
                    <xdr:row>13</xdr:row>
                    <xdr:rowOff>101600</xdr:rowOff>
                  </from>
                  <to>
                    <xdr:col>2</xdr:col>
                    <xdr:colOff>711200</xdr:colOff>
                    <xdr:row>15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7F948-B757-2248-B065-099ADFF02D6C}">
  <sheetPr codeName="Sheet3"/>
  <dimension ref="W2:AB52"/>
  <sheetViews>
    <sheetView zoomScale="93" zoomScaleNormal="100" workbookViewId="0">
      <selection activeCell="X17" sqref="X17"/>
    </sheetView>
  </sheetViews>
  <sheetFormatPr baseColWidth="10" defaultRowHeight="15" x14ac:dyDescent="0.2"/>
  <sheetData>
    <row r="2" spans="23:28" ht="32" x14ac:dyDescent="0.2">
      <c r="W2" s="9" t="s">
        <v>21</v>
      </c>
      <c r="X2" s="25" t="s">
        <v>40</v>
      </c>
      <c r="Y2" s="25" t="s">
        <v>22</v>
      </c>
      <c r="Z2" s="25" t="s">
        <v>52</v>
      </c>
      <c r="AA2" s="25" t="s">
        <v>74</v>
      </c>
      <c r="AB2" s="64"/>
    </row>
    <row r="3" spans="23:28" x14ac:dyDescent="0.2">
      <c r="W3" s="9">
        <v>1</v>
      </c>
      <c r="X3" s="38">
        <f ca="1">'Modelo de Simulação'!E3</f>
        <v>2289.2545695158628</v>
      </c>
      <c r="Y3" s="38">
        <f ca="1">'Modelo de Simulação'!K3</f>
        <v>0</v>
      </c>
      <c r="Z3" s="10">
        <f ca="1">'Modelo de Simulação'!P3</f>
        <v>49783.61627874308</v>
      </c>
      <c r="AA3" s="10">
        <f ca="1">Z3</f>
        <v>49783.61627874308</v>
      </c>
    </row>
    <row r="4" spans="23:28" x14ac:dyDescent="0.2">
      <c r="W4" s="9">
        <v>2</v>
      </c>
      <c r="X4" s="38">
        <f ca="1">'Modelo de Simulação'!E4</f>
        <v>1871.1451920650788</v>
      </c>
      <c r="Y4" s="38">
        <f ca="1">'Modelo de Simulação'!K4</f>
        <v>0</v>
      </c>
      <c r="Z4" s="10">
        <f ca="1">'Modelo de Simulação'!P4</f>
        <v>48059.012549023151</v>
      </c>
      <c r="AA4" s="10">
        <f ca="1">AA3+Z4</f>
        <v>97842.628827766224</v>
      </c>
    </row>
    <row r="5" spans="23:28" x14ac:dyDescent="0.2">
      <c r="W5" s="9">
        <v>3</v>
      </c>
      <c r="X5" s="38">
        <f ca="1">'Modelo de Simulação'!E5</f>
        <v>1448.2468542535125</v>
      </c>
      <c r="Y5" s="38">
        <f ca="1">'Modelo de Simulação'!K5</f>
        <v>0</v>
      </c>
      <c r="Z5" s="10">
        <f ca="1">'Modelo de Simulação'!P5</f>
        <v>51102.611161743065</v>
      </c>
      <c r="AA5" s="10">
        <f ca="1">AA4+Z5</f>
        <v>148945.23998950928</v>
      </c>
    </row>
    <row r="6" spans="23:28" x14ac:dyDescent="0.2">
      <c r="W6" s="9">
        <v>4</v>
      </c>
      <c r="X6" s="38">
        <f ca="1">'Modelo de Simulação'!E6</f>
        <v>1861.1534051373997</v>
      </c>
      <c r="Y6" s="38">
        <f ca="1">'Modelo de Simulação'!K6</f>
        <v>0</v>
      </c>
      <c r="Z6" s="10">
        <f ca="1">'Modelo de Simulação'!P6</f>
        <v>48162.656890443635</v>
      </c>
      <c r="AA6" s="10">
        <f ca="1">AA5+Z6</f>
        <v>197107.89687995292</v>
      </c>
    </row>
    <row r="7" spans="23:28" x14ac:dyDescent="0.2">
      <c r="W7" s="9">
        <v>5</v>
      </c>
      <c r="X7" s="38">
        <f ca="1">'Modelo de Simulação'!E7</f>
        <v>1422.6998736436617</v>
      </c>
      <c r="Y7" s="38">
        <f ca="1">'Modelo de Simulação'!K7</f>
        <v>0</v>
      </c>
      <c r="Z7" s="10">
        <f ca="1">'Modelo de Simulação'!P7</f>
        <v>54747.566051620022</v>
      </c>
      <c r="AA7" s="10">
        <f t="shared" ref="AA7:AA52" ca="1" si="0">AA6+Z7</f>
        <v>251855.46293157295</v>
      </c>
    </row>
    <row r="8" spans="23:28" x14ac:dyDescent="0.2">
      <c r="W8" s="9">
        <v>6</v>
      </c>
      <c r="X8" s="38">
        <f ca="1">'Modelo de Simulação'!E8</f>
        <v>1826.3998976002754</v>
      </c>
      <c r="Y8" s="38">
        <f ca="1">'Modelo de Simulação'!K8</f>
        <v>0</v>
      </c>
      <c r="Z8" s="10">
        <f ca="1">'Modelo de Simulação'!P8</f>
        <v>49250.675026102479</v>
      </c>
      <c r="AA8" s="10">
        <f t="shared" ca="1" si="0"/>
        <v>301106.13795767544</v>
      </c>
    </row>
    <row r="9" spans="23:28" x14ac:dyDescent="0.2">
      <c r="W9" s="9">
        <v>7</v>
      </c>
      <c r="X9" s="38">
        <f ca="1">'Modelo de Simulação'!E9</f>
        <v>1405.2406958089919</v>
      </c>
      <c r="Y9" s="38">
        <f ca="1">'Modelo de Simulação'!K9</f>
        <v>0</v>
      </c>
      <c r="Z9" s="10">
        <f ca="1">'Modelo de Simulação'!P9</f>
        <v>49531.464667452768</v>
      </c>
      <c r="AA9" s="10">
        <f t="shared" ca="1" si="0"/>
        <v>350637.60262512823</v>
      </c>
    </row>
    <row r="10" spans="23:28" x14ac:dyDescent="0.2">
      <c r="W10" s="9">
        <v>8</v>
      </c>
      <c r="X10" s="38">
        <f ca="1">'Modelo de Simulação'!E10</f>
        <v>1871.9632066922197</v>
      </c>
      <c r="Y10" s="38">
        <f ca="1">'Modelo de Simulação'!K10</f>
        <v>0</v>
      </c>
      <c r="Z10" s="10">
        <f ca="1">'Modelo de Simulação'!P10</f>
        <v>48743.084992491764</v>
      </c>
      <c r="AA10" s="10">
        <f t="shared" ca="1" si="0"/>
        <v>399380.68761761999</v>
      </c>
    </row>
    <row r="11" spans="23:28" x14ac:dyDescent="0.2">
      <c r="W11" s="9">
        <v>9</v>
      </c>
      <c r="X11" s="38">
        <f ca="1">'Modelo de Simulação'!E11</f>
        <v>1443.4133416843085</v>
      </c>
      <c r="Y11" s="38">
        <f ca="1">'Modelo de Simulação'!K11</f>
        <v>0</v>
      </c>
      <c r="Z11" s="10">
        <f ca="1">'Modelo de Simulação'!P11</f>
        <v>51776.639940508263</v>
      </c>
      <c r="AA11" s="10">
        <f t="shared" ca="1" si="0"/>
        <v>451157.32755812828</v>
      </c>
    </row>
    <row r="12" spans="23:28" x14ac:dyDescent="0.2">
      <c r="W12" s="9">
        <v>10</v>
      </c>
      <c r="X12" s="38">
        <f ca="1">'Modelo de Simulação'!E12</f>
        <v>1846.2903659488193</v>
      </c>
      <c r="Y12" s="38">
        <f ca="1">'Modelo de Simulação'!K12</f>
        <v>0</v>
      </c>
      <c r="Z12" s="10">
        <f ca="1">'Modelo de Simulação'!P12</f>
        <v>50392.325725961695</v>
      </c>
      <c r="AA12" s="10">
        <f t="shared" ca="1" si="0"/>
        <v>501549.65328408999</v>
      </c>
    </row>
    <row r="13" spans="23:28" x14ac:dyDescent="0.2">
      <c r="W13" s="9">
        <v>11</v>
      </c>
      <c r="X13" s="38">
        <f ca="1">'Modelo de Simulação'!E13</f>
        <v>1411.4485003147265</v>
      </c>
      <c r="Y13" s="38">
        <f ca="1">'Modelo de Simulação'!K13</f>
        <v>0</v>
      </c>
      <c r="Z13" s="10">
        <f ca="1">'Modelo de Simulação'!P13</f>
        <v>51662.378835994699</v>
      </c>
      <c r="AA13" s="10">
        <f t="shared" ca="1" si="0"/>
        <v>553212.03212008474</v>
      </c>
    </row>
    <row r="14" spans="23:28" x14ac:dyDescent="0.2">
      <c r="W14" s="9">
        <v>12</v>
      </c>
      <c r="X14" s="38">
        <f ca="1">'Modelo de Simulação'!E14</f>
        <v>962.8449222106542</v>
      </c>
      <c r="Y14" s="38">
        <f ca="1">'Modelo de Simulação'!K14</f>
        <v>0</v>
      </c>
      <c r="Z14" s="10">
        <f ca="1">'Modelo de Simulação'!P14</f>
        <v>54076.785150451709</v>
      </c>
      <c r="AA14" s="10">
        <f t="shared" ca="1" si="0"/>
        <v>607288.81727053644</v>
      </c>
    </row>
    <row r="15" spans="23:28" x14ac:dyDescent="0.2">
      <c r="W15" s="9">
        <v>13</v>
      </c>
      <c r="X15" s="38">
        <f ca="1">'Modelo de Simulação'!E15</f>
        <v>1386.6127284953982</v>
      </c>
      <c r="Y15" s="38">
        <f ca="1">'Modelo de Simulação'!K15</f>
        <v>0</v>
      </c>
      <c r="Z15" s="10">
        <f ca="1">'Modelo de Simulação'!P15</f>
        <v>51284.210972439651</v>
      </c>
      <c r="AA15" s="10">
        <f t="shared" ca="1" si="0"/>
        <v>658573.02824297606</v>
      </c>
    </row>
    <row r="16" spans="23:28" x14ac:dyDescent="0.2">
      <c r="W16" s="9">
        <v>14</v>
      </c>
      <c r="X16" s="38">
        <f ca="1">'Modelo de Simulação'!E16</f>
        <v>941.68994100315092</v>
      </c>
      <c r="Y16" s="38">
        <f ca="1">'Modelo de Simulação'!K16</f>
        <v>0</v>
      </c>
      <c r="Z16" s="10">
        <f ca="1">'Modelo de Simulação'!P16</f>
        <v>53591.431272476373</v>
      </c>
      <c r="AA16" s="10">
        <f t="shared" ca="1" si="0"/>
        <v>712164.45951545238</v>
      </c>
    </row>
    <row r="17" spans="23:27" x14ac:dyDescent="0.2">
      <c r="W17" s="9">
        <v>15</v>
      </c>
      <c r="X17" s="38">
        <f ca="1">'Modelo de Simulação'!E17</f>
        <v>2269.8575434588765</v>
      </c>
      <c r="Y17" s="38">
        <f ca="1">'Modelo de Simulação'!K17</f>
        <v>0</v>
      </c>
      <c r="Z17" s="10">
        <f ca="1">'Modelo de Simulação'!P17</f>
        <v>49670.908451151634</v>
      </c>
      <c r="AA17" s="10">
        <f t="shared" ca="1" si="0"/>
        <v>761835.36796660407</v>
      </c>
    </row>
    <row r="18" spans="23:27" x14ac:dyDescent="0.2">
      <c r="W18" s="9">
        <v>16</v>
      </c>
      <c r="X18" s="38">
        <f ca="1">'Modelo de Simulação'!E18</f>
        <v>3638.1503912283447</v>
      </c>
      <c r="Y18" s="38">
        <f ca="1">'Modelo de Simulação'!K18</f>
        <v>0</v>
      </c>
      <c r="Z18" s="10">
        <f ca="1">'Modelo de Simulação'!P18</f>
        <v>48279.204142624651</v>
      </c>
      <c r="AA18" s="10">
        <f t="shared" ca="1" si="0"/>
        <v>810114.5721092287</v>
      </c>
    </row>
    <row r="19" spans="23:27" x14ac:dyDescent="0.2">
      <c r="W19" s="9">
        <v>17</v>
      </c>
      <c r="X19" s="38">
        <f ca="1">'Modelo de Simulação'!E19</f>
        <v>3120.0995955013859</v>
      </c>
      <c r="Y19" s="38">
        <f ca="1">'Modelo de Simulação'!K19</f>
        <v>0</v>
      </c>
      <c r="Z19" s="10">
        <f ca="1">'Modelo de Simulação'!P19</f>
        <v>73133.422837578168</v>
      </c>
      <c r="AA19" s="10">
        <f t="shared" ca="1" si="0"/>
        <v>883247.99494680692</v>
      </c>
    </row>
    <row r="20" spans="23:27" x14ac:dyDescent="0.2">
      <c r="W20" s="9">
        <v>18</v>
      </c>
      <c r="X20" s="38">
        <f ca="1">'Modelo de Simulação'!E20</f>
        <v>2525.6571661246107</v>
      </c>
      <c r="Y20" s="38">
        <f ca="1">'Modelo de Simulação'!K20</f>
        <v>0</v>
      </c>
      <c r="Z20" s="10">
        <f ca="1">'Modelo de Simulação'!P20</f>
        <v>66193.793291825481</v>
      </c>
      <c r="AA20" s="10">
        <f t="shared" ca="1" si="0"/>
        <v>949441.78823863238</v>
      </c>
    </row>
    <row r="21" spans="23:27" x14ac:dyDescent="0.2">
      <c r="W21" s="9">
        <v>19</v>
      </c>
      <c r="X21" s="38">
        <f ca="1">'Modelo de Simulação'!E21</f>
        <v>1953.4256694278847</v>
      </c>
      <c r="Y21" s="38">
        <f ca="1">'Modelo de Simulação'!K21</f>
        <v>0</v>
      </c>
      <c r="Z21" s="10">
        <f ca="1">'Modelo de Simulação'!P21</f>
        <v>68306.802130430049</v>
      </c>
      <c r="AA21" s="10">
        <f t="shared" ca="1" si="0"/>
        <v>1017748.5903690624</v>
      </c>
    </row>
    <row r="22" spans="23:27" x14ac:dyDescent="0.2">
      <c r="W22" s="9">
        <v>20</v>
      </c>
      <c r="X22" s="38">
        <f ca="1">'Modelo de Simulação'!E22</f>
        <v>1635.2419785921184</v>
      </c>
      <c r="Y22" s="38">
        <f ca="1">'Modelo de Simulação'!K22</f>
        <v>0</v>
      </c>
      <c r="Z22" s="10">
        <f ca="1">'Modelo de Simulação'!P22</f>
        <v>67634.136563894033</v>
      </c>
      <c r="AA22" s="10">
        <f t="shared" ca="1" si="0"/>
        <v>1085382.7269329564</v>
      </c>
    </row>
    <row r="23" spans="23:27" x14ac:dyDescent="0.2">
      <c r="W23" s="9">
        <v>21</v>
      </c>
      <c r="X23" s="38">
        <f ca="1">'Modelo de Simulação'!E23</f>
        <v>1062.5049749004099</v>
      </c>
      <c r="Y23" s="38">
        <f ca="1">'Modelo de Simulação'!K23</f>
        <v>0</v>
      </c>
      <c r="Z23" s="10">
        <f ca="1">'Modelo de Simulação'!P23</f>
        <v>67757.317638207212</v>
      </c>
      <c r="AA23" s="10">
        <f t="shared" ca="1" si="0"/>
        <v>1153140.0445711636</v>
      </c>
    </row>
    <row r="24" spans="23:27" x14ac:dyDescent="0.2">
      <c r="W24" s="9">
        <v>22</v>
      </c>
      <c r="X24" s="38">
        <f ca="1">'Modelo de Simulação'!E24</f>
        <v>1627.5791046314932</v>
      </c>
      <c r="Y24" s="38">
        <f ca="1">'Modelo de Simulação'!K24</f>
        <v>0</v>
      </c>
      <c r="Z24" s="10">
        <f ca="1">'Modelo de Simulação'!P24</f>
        <v>71345.261140512448</v>
      </c>
      <c r="AA24" s="10">
        <f t="shared" ca="1" si="0"/>
        <v>1224485.3057116761</v>
      </c>
    </row>
    <row r="25" spans="23:27" x14ac:dyDescent="0.2">
      <c r="W25" s="9">
        <v>23</v>
      </c>
      <c r="X25" s="38">
        <f ca="1">'Modelo de Simulação'!E25</f>
        <v>1060.3096309769489</v>
      </c>
      <c r="Y25" s="38">
        <f ca="1">'Modelo de Simulação'!K25</f>
        <v>0</v>
      </c>
      <c r="Z25" s="10">
        <f ca="1">'Modelo de Simulação'!P25</f>
        <v>62738.244602795341</v>
      </c>
      <c r="AA25" s="10">
        <f t="shared" ca="1" si="0"/>
        <v>1287223.5503144716</v>
      </c>
    </row>
    <row r="26" spans="23:27" x14ac:dyDescent="0.2">
      <c r="W26" s="9">
        <v>24</v>
      </c>
      <c r="X26" s="38">
        <f ca="1">'Modelo de Simulação'!E26</f>
        <v>527.41698745915846</v>
      </c>
      <c r="Y26" s="38">
        <f ca="1">'Modelo de Simulação'!K26</f>
        <v>0</v>
      </c>
      <c r="Z26" s="10">
        <f ca="1">'Modelo de Simulação'!P26</f>
        <v>63570.091942309955</v>
      </c>
      <c r="AA26" s="10">
        <f t="shared" ca="1" si="0"/>
        <v>1350793.6422567815</v>
      </c>
    </row>
    <row r="27" spans="23:27" x14ac:dyDescent="0.2">
      <c r="W27" s="9">
        <v>25</v>
      </c>
      <c r="X27" s="38">
        <f ca="1">'Modelo de Simulação'!E27</f>
        <v>1150.6168632826257</v>
      </c>
      <c r="Y27" s="38">
        <f ca="1">'Modelo de Simulação'!K27</f>
        <v>0</v>
      </c>
      <c r="Z27" s="10">
        <f ca="1">'Modelo de Simulação'!P27</f>
        <v>67566.417438692399</v>
      </c>
      <c r="AA27" s="10">
        <f t="shared" ca="1" si="0"/>
        <v>1418360.0596954739</v>
      </c>
    </row>
    <row r="28" spans="23:27" x14ac:dyDescent="0.2">
      <c r="W28" s="9">
        <v>26</v>
      </c>
      <c r="X28" s="38">
        <f ca="1">'Modelo de Simulação'!E28</f>
        <v>2809.2704338803569</v>
      </c>
      <c r="Y28" s="38">
        <f ca="1">'Modelo de Simulação'!K28</f>
        <v>0</v>
      </c>
      <c r="Z28" s="10">
        <f ca="1">'Modelo de Simulação'!P28</f>
        <v>70763.913396171993</v>
      </c>
      <c r="AA28" s="10">
        <f t="shared" ca="1" si="0"/>
        <v>1489123.9730916459</v>
      </c>
    </row>
    <row r="29" spans="23:27" x14ac:dyDescent="0.2">
      <c r="W29" s="9">
        <v>27</v>
      </c>
      <c r="X29" s="38">
        <f ca="1">'Modelo de Simulação'!E29</f>
        <v>2211.9466781122674</v>
      </c>
      <c r="Y29" s="38">
        <f ca="1">'Modelo de Simulação'!K29</f>
        <v>0</v>
      </c>
      <c r="Z29" s="10">
        <f ca="1">'Modelo de Simulação'!P29</f>
        <v>70424.622195788717</v>
      </c>
      <c r="AA29" s="10">
        <f t="shared" ca="1" si="0"/>
        <v>1559548.5952874345</v>
      </c>
    </row>
    <row r="30" spans="23:27" x14ac:dyDescent="0.2">
      <c r="W30" s="9">
        <v>28</v>
      </c>
      <c r="X30" s="38">
        <f ca="1">'Modelo de Simulação'!E30</f>
        <v>1644.486408679044</v>
      </c>
      <c r="Y30" s="38">
        <f ca="1">'Modelo de Simulação'!K30</f>
        <v>0</v>
      </c>
      <c r="Z30" s="10">
        <f ca="1">'Modelo de Simulação'!P30</f>
        <v>63199.863374690984</v>
      </c>
      <c r="AA30" s="10">
        <f t="shared" ca="1" si="0"/>
        <v>1622748.4586621255</v>
      </c>
    </row>
    <row r="31" spans="23:27" x14ac:dyDescent="0.2">
      <c r="W31" s="9">
        <v>29</v>
      </c>
      <c r="X31" s="38">
        <f ca="1">'Modelo de Simulação'!E31</f>
        <v>1205.8663184557802</v>
      </c>
      <c r="Y31" s="38">
        <f ca="1">'Modelo de Simulação'!K31</f>
        <v>0</v>
      </c>
      <c r="Z31" s="10">
        <f ca="1">'Modelo de Simulação'!P31</f>
        <v>39937.605900770068</v>
      </c>
      <c r="AA31" s="10">
        <f t="shared" ca="1" si="0"/>
        <v>1662686.0645628956</v>
      </c>
    </row>
    <row r="32" spans="23:27" x14ac:dyDescent="0.2">
      <c r="W32" s="9">
        <v>30</v>
      </c>
      <c r="X32" s="38">
        <f ca="1">'Modelo de Simulação'!E32</f>
        <v>861.93944289675142</v>
      </c>
      <c r="Y32" s="38">
        <f ca="1">'Modelo de Simulação'!K32</f>
        <v>0</v>
      </c>
      <c r="Z32" s="10">
        <f ca="1">'Modelo de Simulação'!P32</f>
        <v>40811.552144492533</v>
      </c>
      <c r="AA32" s="10">
        <f t="shared" ca="1" si="0"/>
        <v>1703497.6167073881</v>
      </c>
    </row>
    <row r="33" spans="23:27" x14ac:dyDescent="0.2">
      <c r="W33" s="9">
        <v>31</v>
      </c>
      <c r="X33" s="38">
        <f ca="1">'Modelo de Simulação'!E33</f>
        <v>1637.1809206995472</v>
      </c>
      <c r="Y33" s="38">
        <f ca="1">'Modelo de Simulação'!K33</f>
        <v>0</v>
      </c>
      <c r="Z33" s="10">
        <f ca="1">'Modelo de Simulação'!P33</f>
        <v>41284.416606032704</v>
      </c>
      <c r="AA33" s="10">
        <f t="shared" ca="1" si="0"/>
        <v>1744782.0333134208</v>
      </c>
    </row>
    <row r="34" spans="23:27" x14ac:dyDescent="0.2">
      <c r="W34" s="9">
        <v>32</v>
      </c>
      <c r="X34" s="38">
        <f ca="1">'Modelo de Simulação'!E34</f>
        <v>3106.6748155936903</v>
      </c>
      <c r="Y34" s="38">
        <f ca="1">'Modelo de Simulação'!K34</f>
        <v>0</v>
      </c>
      <c r="Z34" s="10">
        <f ca="1">'Modelo de Simulação'!P34</f>
        <v>39206.146629897827</v>
      </c>
      <c r="AA34" s="10">
        <f t="shared" ca="1" si="0"/>
        <v>1783988.1799433187</v>
      </c>
    </row>
    <row r="35" spans="23:27" x14ac:dyDescent="0.2">
      <c r="W35" s="9">
        <v>33</v>
      </c>
      <c r="X35" s="38">
        <f ca="1">'Modelo de Simulação'!E35</f>
        <v>2767.0348868090819</v>
      </c>
      <c r="Y35" s="38">
        <f ca="1">'Modelo de Simulação'!K35</f>
        <v>0</v>
      </c>
      <c r="Z35" s="10">
        <f ca="1">'Modelo de Simulação'!P35</f>
        <v>39769.993686970251</v>
      </c>
      <c r="AA35" s="10">
        <f t="shared" ca="1" si="0"/>
        <v>1823758.173630289</v>
      </c>
    </row>
    <row r="36" spans="23:27" x14ac:dyDescent="0.2">
      <c r="W36" s="9">
        <v>34</v>
      </c>
      <c r="X36" s="38">
        <f ca="1">'Modelo de Simulação'!E36</f>
        <v>2411.2375405686957</v>
      </c>
      <c r="Y36" s="38">
        <f ca="1">'Modelo de Simulação'!K36</f>
        <v>0</v>
      </c>
      <c r="Z36" s="10">
        <f ca="1">'Modelo de Simulação'!P36</f>
        <v>42484.355722095243</v>
      </c>
      <c r="AA36" s="10">
        <f t="shared" ca="1" si="0"/>
        <v>1866242.5293523844</v>
      </c>
    </row>
    <row r="37" spans="23:27" x14ac:dyDescent="0.2">
      <c r="W37" s="9">
        <v>35</v>
      </c>
      <c r="X37" s="38">
        <f ca="1">'Modelo de Simulação'!E37</f>
        <v>2055.8588634801999</v>
      </c>
      <c r="Y37" s="38">
        <f ca="1">'Modelo de Simulação'!K37</f>
        <v>0</v>
      </c>
      <c r="Z37" s="10">
        <f ca="1">'Modelo de Simulação'!P37</f>
        <v>39976.74113259458</v>
      </c>
      <c r="AA37" s="10">
        <f t="shared" ca="1" si="0"/>
        <v>1906219.270484979</v>
      </c>
    </row>
    <row r="38" spans="23:27" x14ac:dyDescent="0.2">
      <c r="W38" s="9">
        <v>36</v>
      </c>
      <c r="X38" s="38">
        <f ca="1">'Modelo de Simulação'!E38</f>
        <v>1722.2351676037865</v>
      </c>
      <c r="Y38" s="38">
        <f ca="1">'Modelo de Simulação'!K38</f>
        <v>0</v>
      </c>
      <c r="Z38" s="10">
        <f ca="1">'Modelo de Simulação'!P38</f>
        <v>37560.809256316446</v>
      </c>
      <c r="AA38" s="10">
        <f t="shared" ca="1" si="0"/>
        <v>1943780.0797412954</v>
      </c>
    </row>
    <row r="39" spans="23:27" x14ac:dyDescent="0.2">
      <c r="W39" s="9">
        <v>37</v>
      </c>
      <c r="X39" s="38">
        <f ca="1">'Modelo de Simulação'!E39</f>
        <v>1654.2747752739267</v>
      </c>
      <c r="Y39" s="38">
        <f ca="1">'Modelo de Simulação'!K39</f>
        <v>0</v>
      </c>
      <c r="Z39" s="10">
        <f ca="1">'Modelo de Simulação'!P39</f>
        <v>42120.033210660658</v>
      </c>
      <c r="AA39" s="10">
        <f t="shared" ca="1" si="0"/>
        <v>1985900.112951956</v>
      </c>
    </row>
    <row r="40" spans="23:27" x14ac:dyDescent="0.2">
      <c r="W40" s="9">
        <v>38</v>
      </c>
      <c r="X40" s="38">
        <f ca="1">'Modelo de Simulação'!E40</f>
        <v>2253.7183067744227</v>
      </c>
      <c r="Y40" s="38">
        <f ca="1">'Modelo de Simulação'!K40</f>
        <v>0</v>
      </c>
      <c r="Z40" s="10">
        <f ca="1">'Modelo de Simulação'!P40</f>
        <v>37293.64084158792</v>
      </c>
      <c r="AA40" s="10">
        <f t="shared" ca="1" si="0"/>
        <v>2023193.7537935439</v>
      </c>
    </row>
    <row r="41" spans="23:27" x14ac:dyDescent="0.2">
      <c r="W41" s="9">
        <v>39</v>
      </c>
      <c r="X41" s="38">
        <f ca="1">'Modelo de Simulação'!E41</f>
        <v>1905.8531843846172</v>
      </c>
      <c r="Y41" s="38">
        <f ca="1">'Modelo de Simulação'!K41</f>
        <v>0</v>
      </c>
      <c r="Z41" s="10">
        <f ca="1">'Modelo de Simulação'!P41</f>
        <v>43497.053647784713</v>
      </c>
      <c r="AA41" s="10">
        <f t="shared" ca="1" si="0"/>
        <v>2066690.8074413287</v>
      </c>
    </row>
    <row r="42" spans="23:27" x14ac:dyDescent="0.2">
      <c r="W42" s="9">
        <v>40</v>
      </c>
      <c r="X42" s="38">
        <f ca="1">'Modelo de Simulação'!E42</f>
        <v>1970.7206098831678</v>
      </c>
      <c r="Y42" s="38">
        <f ca="1">'Modelo de Simulação'!K42</f>
        <v>0</v>
      </c>
      <c r="Z42" s="10">
        <f ca="1">'Modelo de Simulação'!P42</f>
        <v>36634.937877692399</v>
      </c>
      <c r="AA42" s="10">
        <f t="shared" ca="1" si="0"/>
        <v>2103325.7453190209</v>
      </c>
    </row>
    <row r="43" spans="23:27" x14ac:dyDescent="0.2">
      <c r="W43" s="9">
        <v>41</v>
      </c>
      <c r="X43" s="38">
        <f ca="1">'Modelo de Simulação'!E43</f>
        <v>1639.6206449576653</v>
      </c>
      <c r="Y43" s="38">
        <f ca="1">'Modelo de Simulação'!K43</f>
        <v>0</v>
      </c>
      <c r="Z43" s="10">
        <f ca="1">'Modelo de Simulação'!P43</f>
        <v>40369.386282336949</v>
      </c>
      <c r="AA43" s="10">
        <f t="shared" ca="1" si="0"/>
        <v>2143695.1316013578</v>
      </c>
    </row>
    <row r="44" spans="23:27" x14ac:dyDescent="0.2">
      <c r="W44" s="9">
        <v>42</v>
      </c>
      <c r="X44" s="38">
        <f ca="1">'Modelo de Simulação'!E44</f>
        <v>1995.1595337752362</v>
      </c>
      <c r="Y44" s="38">
        <f ca="1">'Modelo de Simulação'!K44</f>
        <v>0</v>
      </c>
      <c r="Z44" s="10">
        <f ca="1">'Modelo de Simulação'!P44</f>
        <v>37244.398173435067</v>
      </c>
      <c r="AA44" s="10">
        <f t="shared" ca="1" si="0"/>
        <v>2180939.529774793</v>
      </c>
    </row>
    <row r="45" spans="23:27" x14ac:dyDescent="0.2">
      <c r="W45" s="9">
        <v>43</v>
      </c>
      <c r="X45" s="38">
        <f ca="1">'Modelo de Simulação'!E45</f>
        <v>1652.7408713352811</v>
      </c>
      <c r="Y45" s="38">
        <f ca="1">'Modelo de Simulação'!K45</f>
        <v>0</v>
      </c>
      <c r="Z45" s="10">
        <f ca="1">'Modelo de Simulação'!P45</f>
        <v>42460.187837146419</v>
      </c>
      <c r="AA45" s="10">
        <f t="shared" ca="1" si="0"/>
        <v>2223399.7176119392</v>
      </c>
    </row>
    <row r="46" spans="23:27" x14ac:dyDescent="0.2">
      <c r="W46" s="9">
        <v>44</v>
      </c>
      <c r="X46" s="38">
        <f ca="1">'Modelo de Simulação'!E46</f>
        <v>1974.5406632971335</v>
      </c>
      <c r="Y46" s="38">
        <f ca="1">'Modelo de Simulação'!K46</f>
        <v>0</v>
      </c>
      <c r="Z46" s="10">
        <f ca="1">'Modelo de Simulação'!P46</f>
        <v>38008.895455017111</v>
      </c>
      <c r="AA46" s="10">
        <f t="shared" ca="1" si="0"/>
        <v>2261408.6130669564</v>
      </c>
    </row>
    <row r="47" spans="23:27" x14ac:dyDescent="0.2">
      <c r="W47" s="9">
        <v>45</v>
      </c>
      <c r="X47" s="38">
        <f ca="1">'Modelo de Simulação'!E47</f>
        <v>1631.3148629367538</v>
      </c>
      <c r="Y47" s="38">
        <f ca="1">'Modelo de Simulação'!K47</f>
        <v>0</v>
      </c>
      <c r="Z47" s="10">
        <f ca="1">'Modelo de Simulação'!P47</f>
        <v>41907.567044140938</v>
      </c>
      <c r="AA47" s="10">
        <f t="shared" ca="1" si="0"/>
        <v>2303316.1801110972</v>
      </c>
    </row>
    <row r="48" spans="23:27" x14ac:dyDescent="0.2">
      <c r="W48" s="9">
        <v>46</v>
      </c>
      <c r="X48" s="38">
        <f ca="1">'Modelo de Simulação'!E48</f>
        <v>1283.5202348041478</v>
      </c>
      <c r="Y48" s="38">
        <f ca="1">'Modelo de Simulação'!K48</f>
        <v>0</v>
      </c>
      <c r="Z48" s="10">
        <f ca="1">'Modelo de Simulação'!P48</f>
        <v>39403.934945460423</v>
      </c>
      <c r="AA48" s="10">
        <f t="shared" ca="1" si="0"/>
        <v>2342720.1150565576</v>
      </c>
    </row>
    <row r="49" spans="23:27" x14ac:dyDescent="0.2">
      <c r="W49" s="9">
        <v>47</v>
      </c>
      <c r="X49" s="38">
        <f ca="1">'Modelo de Simulação'!E49</f>
        <v>1616.4351896091209</v>
      </c>
      <c r="Y49" s="38">
        <f ca="1">'Modelo de Simulação'!K49</f>
        <v>0</v>
      </c>
      <c r="Z49" s="10">
        <f ca="1">'Modelo de Simulação'!P49</f>
        <v>44415.832988248942</v>
      </c>
      <c r="AA49" s="10">
        <f t="shared" ca="1" si="0"/>
        <v>2387135.9480448067</v>
      </c>
    </row>
    <row r="50" spans="23:27" x14ac:dyDescent="0.2">
      <c r="W50" s="9">
        <v>48</v>
      </c>
      <c r="X50" s="38">
        <f ca="1">'Modelo de Simulação'!E50</f>
        <v>2630.7618620841013</v>
      </c>
      <c r="Y50" s="38">
        <f ca="1">'Modelo de Simulação'!K50</f>
        <v>0</v>
      </c>
      <c r="Z50" s="10">
        <f ca="1">'Modelo de Simulação'!P50</f>
        <v>42224.53582532474</v>
      </c>
      <c r="AA50" s="10">
        <f t="shared" ca="1" si="0"/>
        <v>2429360.4838701314</v>
      </c>
    </row>
    <row r="51" spans="23:27" x14ac:dyDescent="0.2">
      <c r="W51" s="9">
        <v>49</v>
      </c>
      <c r="X51" s="38">
        <f ca="1">'Modelo de Simulação'!E51</f>
        <v>2287.634532960808</v>
      </c>
      <c r="Y51" s="38">
        <f ca="1">'Modelo de Simulação'!K51</f>
        <v>0</v>
      </c>
      <c r="Z51" s="10">
        <f ca="1">'Modelo de Simulação'!P51</f>
        <v>37101.27592160627</v>
      </c>
      <c r="AA51" s="10">
        <f t="shared" ca="1" si="0"/>
        <v>2466461.7597917379</v>
      </c>
    </row>
    <row r="52" spans="23:27" x14ac:dyDescent="0.2">
      <c r="W52" s="9">
        <v>50</v>
      </c>
      <c r="X52" s="38">
        <f ca="1">'Modelo de Simulação'!E52</f>
        <v>2018.3975281595435</v>
      </c>
      <c r="Y52" s="38">
        <f ca="1">'Modelo de Simulação'!K52</f>
        <v>0</v>
      </c>
      <c r="Z52" s="10">
        <f ca="1">'Modelo de Simulação'!P52</f>
        <v>37633.577429853896</v>
      </c>
      <c r="AA52" s="10">
        <f t="shared" ca="1" si="0"/>
        <v>2504095.3372215917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031C7-A599-42EE-AF27-64BD329B83C9}">
  <sheetPr codeName="Folha3"/>
  <dimension ref="A2:R55"/>
  <sheetViews>
    <sheetView tabSelected="1" zoomScaleNormal="60" workbookViewId="0">
      <selection activeCell="N21" sqref="N21"/>
    </sheetView>
  </sheetViews>
  <sheetFormatPr baseColWidth="10" defaultColWidth="8.83203125" defaultRowHeight="15" x14ac:dyDescent="0.2"/>
  <cols>
    <col min="9" max="9" width="11.5" bestFit="1" customWidth="1"/>
    <col min="12" max="12" width="23.1640625" customWidth="1"/>
    <col min="15" max="15" width="8.83203125" style="11"/>
    <col min="16" max="16" width="20.83203125" style="11" bestFit="1" customWidth="1"/>
    <col min="17" max="17" width="20.5" bestFit="1" customWidth="1"/>
    <col min="18" max="18" width="21.5" bestFit="1" customWidth="1"/>
  </cols>
  <sheetData>
    <row r="2" spans="2:18" x14ac:dyDescent="0.2">
      <c r="B2" s="15" t="s">
        <v>0</v>
      </c>
      <c r="C2" t="s">
        <v>1</v>
      </c>
    </row>
    <row r="3" spans="2:18" x14ac:dyDescent="0.2">
      <c r="B3" s="14" t="s">
        <v>2</v>
      </c>
      <c r="C3" t="s">
        <v>3</v>
      </c>
      <c r="O3" s="9" t="s">
        <v>21</v>
      </c>
      <c r="P3" s="9" t="s">
        <v>55</v>
      </c>
      <c r="Q3" s="9" t="s">
        <v>56</v>
      </c>
      <c r="R3" s="24" t="s">
        <v>57</v>
      </c>
    </row>
    <row r="4" spans="2:18" x14ac:dyDescent="0.2">
      <c r="B4" t="s">
        <v>4</v>
      </c>
      <c r="C4" t="s">
        <v>51</v>
      </c>
      <c r="O4" s="9">
        <v>1</v>
      </c>
      <c r="P4" s="21">
        <f>D9</f>
        <v>419.1</v>
      </c>
      <c r="Q4" s="42">
        <f>P4*(1+$B$14)</f>
        <v>435.02580000000006</v>
      </c>
      <c r="R4" s="42">
        <f ca="1">Q4*(1+RAND()*$B$17*2-$B$17)</f>
        <v>421.49086096827409</v>
      </c>
    </row>
    <row r="5" spans="2:18" x14ac:dyDescent="0.2">
      <c r="B5" s="14" t="s">
        <v>5</v>
      </c>
      <c r="C5" t="s">
        <v>6</v>
      </c>
      <c r="O5" s="9">
        <v>2</v>
      </c>
      <c r="P5" s="21">
        <f>D9</f>
        <v>419.1</v>
      </c>
      <c r="Q5" s="42">
        <f>P5*(1+$B$14)</f>
        <v>435.02580000000006</v>
      </c>
      <c r="R5" s="42">
        <f ca="1">Q5*(1+RAND()*$B$17*2-$B$17)</f>
        <v>414.72789393329384</v>
      </c>
    </row>
    <row r="6" spans="2:18" x14ac:dyDescent="0.2">
      <c r="O6" s="9">
        <v>3</v>
      </c>
      <c r="P6" s="21">
        <f>D9</f>
        <v>419.1</v>
      </c>
      <c r="Q6" s="42">
        <f t="shared" ref="Q6:Q53" si="0">P6*(1+$B$14)</f>
        <v>435.02580000000006</v>
      </c>
      <c r="R6" s="42">
        <f t="shared" ref="R6:R53" ca="1" si="1">Q6*(1+RAND()*$B$17*2-$B$17)</f>
        <v>431.0687816898382</v>
      </c>
    </row>
    <row r="7" spans="2:18" x14ac:dyDescent="0.2">
      <c r="B7" s="1" t="s">
        <v>7</v>
      </c>
      <c r="O7" s="9">
        <v>4</v>
      </c>
      <c r="P7" s="21">
        <f>D9</f>
        <v>419.1</v>
      </c>
      <c r="Q7" s="42">
        <f>P7*(1+$B$14)</f>
        <v>435.02580000000006</v>
      </c>
      <c r="R7" s="42">
        <f t="shared" ca="1" si="1"/>
        <v>415.5556263455249</v>
      </c>
    </row>
    <row r="8" spans="2:18" x14ac:dyDescent="0.2">
      <c r="B8" s="1" t="s">
        <v>8</v>
      </c>
      <c r="D8" s="20"/>
      <c r="E8" s="20"/>
      <c r="F8" s="20"/>
      <c r="G8" s="20"/>
      <c r="H8" s="20"/>
      <c r="O8" s="9">
        <v>5</v>
      </c>
      <c r="P8" s="21">
        <f>D9</f>
        <v>419.1</v>
      </c>
      <c r="Q8" s="42">
        <f t="shared" si="0"/>
        <v>435.02580000000006</v>
      </c>
      <c r="R8" s="42">
        <f t="shared" ca="1" si="1"/>
        <v>461.35143664195067</v>
      </c>
    </row>
    <row r="9" spans="2:18" x14ac:dyDescent="0.2">
      <c r="D9" s="20">
        <v>419.1</v>
      </c>
      <c r="E9" s="20" t="s">
        <v>58</v>
      </c>
      <c r="F9" s="20"/>
      <c r="G9" s="20" t="s">
        <v>59</v>
      </c>
      <c r="H9" s="20"/>
      <c r="O9" s="9">
        <v>6</v>
      </c>
      <c r="P9" s="21">
        <f>D9</f>
        <v>419.1</v>
      </c>
      <c r="Q9" s="42">
        <f t="shared" si="0"/>
        <v>435.02580000000006</v>
      </c>
      <c r="R9" s="42">
        <f t="shared" ca="1" si="1"/>
        <v>424.49733151554835</v>
      </c>
    </row>
    <row r="10" spans="2:18" x14ac:dyDescent="0.2">
      <c r="D10" s="20">
        <v>554.20000000000005</v>
      </c>
      <c r="E10" s="20" t="s">
        <v>58</v>
      </c>
      <c r="F10" s="20"/>
      <c r="G10" s="20" t="s">
        <v>60</v>
      </c>
      <c r="H10" s="20"/>
      <c r="O10" s="9">
        <v>7</v>
      </c>
      <c r="P10" s="21">
        <f>D9</f>
        <v>419.1</v>
      </c>
      <c r="Q10" s="42">
        <f t="shared" si="0"/>
        <v>435.02580000000006</v>
      </c>
      <c r="R10" s="42">
        <f t="shared" ca="1" si="1"/>
        <v>417.82107206701875</v>
      </c>
    </row>
    <row r="11" spans="2:18" x14ac:dyDescent="0.2">
      <c r="D11" s="20">
        <v>334.6</v>
      </c>
      <c r="E11" s="20" t="s">
        <v>58</v>
      </c>
      <c r="F11" s="20"/>
      <c r="G11" s="20" t="s">
        <v>61</v>
      </c>
      <c r="H11" s="20"/>
      <c r="O11" s="9">
        <v>8</v>
      </c>
      <c r="P11" s="21">
        <f>D9</f>
        <v>419.1</v>
      </c>
      <c r="Q11" s="42">
        <f t="shared" si="0"/>
        <v>435.02580000000006</v>
      </c>
      <c r="R11" s="42">
        <f t="shared" ca="1" si="1"/>
        <v>420.43144248152333</v>
      </c>
    </row>
    <row r="12" spans="2:18" x14ac:dyDescent="0.2">
      <c r="O12" s="9">
        <v>9</v>
      </c>
      <c r="P12" s="21">
        <f>D9</f>
        <v>419.1</v>
      </c>
      <c r="Q12" s="42">
        <f t="shared" si="0"/>
        <v>435.02580000000006</v>
      </c>
      <c r="R12" s="42">
        <f t="shared" ca="1" si="1"/>
        <v>436.66828753429905</v>
      </c>
    </row>
    <row r="13" spans="2:18" x14ac:dyDescent="0.2">
      <c r="B13" s="1" t="s">
        <v>9</v>
      </c>
      <c r="O13" s="9">
        <v>10</v>
      </c>
      <c r="P13" s="21">
        <f>D9</f>
        <v>419.1</v>
      </c>
      <c r="Q13" s="42">
        <f t="shared" si="0"/>
        <v>435.02580000000006</v>
      </c>
      <c r="R13" s="42">
        <f t="shared" ca="1" si="1"/>
        <v>434.08269303376323</v>
      </c>
    </row>
    <row r="14" spans="2:18" x14ac:dyDescent="0.2">
      <c r="B14" s="2">
        <v>3.7999999999999999E-2</v>
      </c>
      <c r="O14" s="9">
        <v>11</v>
      </c>
      <c r="P14" s="21">
        <f>D9</f>
        <v>419.1</v>
      </c>
      <c r="Q14" s="42">
        <f t="shared" si="0"/>
        <v>435.02580000000006</v>
      </c>
      <c r="R14" s="42">
        <f t="shared" ca="1" si="1"/>
        <v>435.60103823442216</v>
      </c>
    </row>
    <row r="15" spans="2:18" x14ac:dyDescent="0.2">
      <c r="O15" s="9">
        <v>12</v>
      </c>
      <c r="P15" s="21">
        <f>D9</f>
        <v>419.1</v>
      </c>
      <c r="Q15" s="42">
        <f t="shared" si="0"/>
        <v>435.02580000000006</v>
      </c>
      <c r="R15" s="42">
        <f t="shared" ca="1" si="1"/>
        <v>461.60611797372258</v>
      </c>
    </row>
    <row r="16" spans="2:18" x14ac:dyDescent="0.2">
      <c r="B16" t="s">
        <v>10</v>
      </c>
      <c r="O16" s="9">
        <v>13</v>
      </c>
      <c r="P16" s="21">
        <f>D9</f>
        <v>419.1</v>
      </c>
      <c r="Q16" s="42">
        <f t="shared" si="0"/>
        <v>435.02580000000006</v>
      </c>
      <c r="R16" s="42">
        <f t="shared" ca="1" si="1"/>
        <v>432.36023059291381</v>
      </c>
    </row>
    <row r="17" spans="1:18" x14ac:dyDescent="0.2">
      <c r="B17" s="2">
        <v>8.6999999999999994E-2</v>
      </c>
      <c r="O17" s="9">
        <v>14</v>
      </c>
      <c r="P17" s="21">
        <f>D9</f>
        <v>419.1</v>
      </c>
      <c r="Q17" s="42">
        <f t="shared" si="0"/>
        <v>435.02580000000006</v>
      </c>
      <c r="R17" s="42">
        <f t="shared" ca="1" si="1"/>
        <v>457.48534439158112</v>
      </c>
    </row>
    <row r="18" spans="1:18" x14ac:dyDescent="0.2">
      <c r="O18" s="9">
        <v>15</v>
      </c>
      <c r="P18" s="21">
        <f>D9</f>
        <v>419.1</v>
      </c>
      <c r="Q18" s="42">
        <f t="shared" si="0"/>
        <v>435.02580000000006</v>
      </c>
      <c r="R18" s="42">
        <f t="shared" ca="1" si="1"/>
        <v>422.09572424938222</v>
      </c>
    </row>
    <row r="19" spans="1:18" x14ac:dyDescent="0.2">
      <c r="B19" s="1" t="s">
        <v>11</v>
      </c>
      <c r="I19" s="19" t="s">
        <v>62</v>
      </c>
      <c r="O19" s="9">
        <v>16</v>
      </c>
      <c r="P19" s="21">
        <f>D9</f>
        <v>419.1</v>
      </c>
      <c r="Q19" s="42">
        <f t="shared" si="0"/>
        <v>435.02580000000006</v>
      </c>
      <c r="R19" s="42">
        <f t="shared" ca="1" si="1"/>
        <v>415.42404259696082</v>
      </c>
    </row>
    <row r="20" spans="1:18" x14ac:dyDescent="0.2">
      <c r="B20" t="s">
        <v>12</v>
      </c>
      <c r="D20" s="3">
        <v>96.5</v>
      </c>
      <c r="E20" t="s">
        <v>63</v>
      </c>
      <c r="I20" s="10">
        <f>D9+D9*$B$14</f>
        <v>435.0258</v>
      </c>
      <c r="J20" s="10" t="s">
        <v>58</v>
      </c>
      <c r="K20" s="10"/>
      <c r="L20" s="10" t="s">
        <v>59</v>
      </c>
      <c r="O20" s="9">
        <v>17</v>
      </c>
      <c r="P20" s="22">
        <f>D10</f>
        <v>554.20000000000005</v>
      </c>
      <c r="Q20" s="43">
        <f t="shared" si="0"/>
        <v>575.25960000000009</v>
      </c>
      <c r="R20" s="43">
        <f t="shared" ca="1" si="1"/>
        <v>620.67754885695638</v>
      </c>
    </row>
    <row r="21" spans="1:18" x14ac:dyDescent="0.2">
      <c r="B21" t="s">
        <v>13</v>
      </c>
      <c r="D21" s="4">
        <v>120</v>
      </c>
      <c r="E21" t="s">
        <v>63</v>
      </c>
      <c r="I21" s="10">
        <f>D10+D10*$B$14</f>
        <v>575.25960000000009</v>
      </c>
      <c r="J21" s="10" t="s">
        <v>58</v>
      </c>
      <c r="K21" s="10"/>
      <c r="L21" s="10" t="s">
        <v>60</v>
      </c>
      <c r="O21" s="9">
        <v>18</v>
      </c>
      <c r="P21" s="22">
        <f>D10</f>
        <v>554.20000000000005</v>
      </c>
      <c r="Q21" s="43">
        <f t="shared" si="0"/>
        <v>575.25960000000009</v>
      </c>
      <c r="R21" s="43">
        <f t="shared" ca="1" si="1"/>
        <v>568.20730989659421</v>
      </c>
    </row>
    <row r="22" spans="1:18" x14ac:dyDescent="0.2">
      <c r="I22" s="10">
        <f>D11+D11*$B$14</f>
        <v>347.31480000000005</v>
      </c>
      <c r="J22" s="10" t="s">
        <v>58</v>
      </c>
      <c r="K22" s="10"/>
      <c r="L22" s="10" t="s">
        <v>61</v>
      </c>
      <c r="O22" s="9">
        <v>19</v>
      </c>
      <c r="P22" s="22">
        <f>D10</f>
        <v>554.20000000000005</v>
      </c>
      <c r="Q22" s="43">
        <f t="shared" si="0"/>
        <v>575.25960000000009</v>
      </c>
      <c r="R22" s="43">
        <f t="shared" ca="1" si="1"/>
        <v>576.2556834968575</v>
      </c>
    </row>
    <row r="23" spans="1:18" x14ac:dyDescent="0.2">
      <c r="B23" t="s">
        <v>14</v>
      </c>
      <c r="D23" s="4">
        <v>900</v>
      </c>
      <c r="E23" t="s">
        <v>64</v>
      </c>
      <c r="O23" s="9">
        <v>20</v>
      </c>
      <c r="P23" s="22">
        <f>D10</f>
        <v>554.20000000000005</v>
      </c>
      <c r="Q23" s="43">
        <f t="shared" si="0"/>
        <v>575.25960000000009</v>
      </c>
      <c r="R23" s="43">
        <f t="shared" ca="1" si="1"/>
        <v>577.00467582204863</v>
      </c>
    </row>
    <row r="24" spans="1:18" x14ac:dyDescent="0.2">
      <c r="O24" s="9">
        <v>21</v>
      </c>
      <c r="P24" s="22">
        <f>D10</f>
        <v>554.20000000000005</v>
      </c>
      <c r="Q24" s="43">
        <f t="shared" si="0"/>
        <v>575.25960000000009</v>
      </c>
      <c r="R24" s="43">
        <f t="shared" ca="1" si="1"/>
        <v>568.46933156136822</v>
      </c>
    </row>
    <row r="25" spans="1:18" x14ac:dyDescent="0.2">
      <c r="B25" t="s">
        <v>15</v>
      </c>
      <c r="E25" s="5">
        <v>0.18</v>
      </c>
      <c r="O25" s="9">
        <v>22</v>
      </c>
      <c r="P25" s="22">
        <f>D10</f>
        <v>554.20000000000005</v>
      </c>
      <c r="Q25" s="43">
        <f t="shared" si="0"/>
        <v>575.25960000000009</v>
      </c>
      <c r="R25" s="43">
        <f t="shared" ca="1" si="1"/>
        <v>607.9031276142772</v>
      </c>
    </row>
    <row r="26" spans="1:18" x14ac:dyDescent="0.2">
      <c r="A26" t="s">
        <v>27</v>
      </c>
      <c r="B26" t="s">
        <v>16</v>
      </c>
      <c r="D26" s="6">
        <f>20+2*4</f>
        <v>28</v>
      </c>
      <c r="E26" t="s">
        <v>65</v>
      </c>
      <c r="O26" s="9">
        <v>23</v>
      </c>
      <c r="P26" s="22">
        <f>D10</f>
        <v>554.20000000000005</v>
      </c>
      <c r="Q26" s="43">
        <f t="shared" si="0"/>
        <v>575.25960000000009</v>
      </c>
      <c r="R26" s="43">
        <f t="shared" ca="1" si="1"/>
        <v>526.63581969481152</v>
      </c>
    </row>
    <row r="27" spans="1:18" x14ac:dyDescent="0.2">
      <c r="O27" s="9">
        <v>24</v>
      </c>
      <c r="P27" s="22">
        <f>D10</f>
        <v>554.20000000000005</v>
      </c>
      <c r="Q27" s="43">
        <f t="shared" si="0"/>
        <v>575.25960000000009</v>
      </c>
      <c r="R27" s="43">
        <f t="shared" ca="1" si="1"/>
        <v>539.14946734076921</v>
      </c>
    </row>
    <row r="28" spans="1:18" x14ac:dyDescent="0.2">
      <c r="B28" t="s">
        <v>17</v>
      </c>
      <c r="D28">
        <v>1</v>
      </c>
      <c r="E28" t="s">
        <v>66</v>
      </c>
      <c r="F28" s="5">
        <v>0.6</v>
      </c>
      <c r="O28" s="9">
        <v>25</v>
      </c>
      <c r="P28" s="22">
        <f>D10</f>
        <v>554.20000000000005</v>
      </c>
      <c r="Q28" s="43">
        <f t="shared" si="0"/>
        <v>575.25960000000009</v>
      </c>
      <c r="R28" s="43">
        <f t="shared" ca="1" si="1"/>
        <v>567.19569936358744</v>
      </c>
    </row>
    <row r="29" spans="1:18" x14ac:dyDescent="0.2">
      <c r="D29">
        <v>2</v>
      </c>
      <c r="E29" t="s">
        <v>67</v>
      </c>
      <c r="F29" s="5">
        <v>0.4</v>
      </c>
      <c r="O29" s="9">
        <v>26</v>
      </c>
      <c r="P29" s="22">
        <f>D10</f>
        <v>554.20000000000005</v>
      </c>
      <c r="Q29" s="43">
        <f t="shared" si="0"/>
        <v>575.25960000000009</v>
      </c>
      <c r="R29" s="43">
        <f t="shared" ca="1" si="1"/>
        <v>599.81265186340249</v>
      </c>
    </row>
    <row r="30" spans="1:18" x14ac:dyDescent="0.2">
      <c r="O30" s="9">
        <v>27</v>
      </c>
      <c r="P30" s="22">
        <f>D10</f>
        <v>554.20000000000005</v>
      </c>
      <c r="Q30" s="43">
        <f t="shared" si="0"/>
        <v>575.25960000000009</v>
      </c>
      <c r="R30" s="43">
        <f t="shared" ca="1" si="1"/>
        <v>594.83485967277682</v>
      </c>
    </row>
    <row r="31" spans="1:18" x14ac:dyDescent="0.2">
      <c r="B31" t="s">
        <v>0</v>
      </c>
      <c r="C31">
        <v>2</v>
      </c>
      <c r="D31" t="s">
        <v>67</v>
      </c>
      <c r="O31" s="9">
        <v>28</v>
      </c>
      <c r="P31" s="22">
        <f>D10</f>
        <v>554.20000000000005</v>
      </c>
      <c r="Q31" s="43">
        <f t="shared" si="0"/>
        <v>575.25960000000009</v>
      </c>
      <c r="R31" s="43">
        <f t="shared" ca="1" si="1"/>
        <v>540.08567919366942</v>
      </c>
    </row>
    <row r="32" spans="1:18" x14ac:dyDescent="0.2">
      <c r="B32" t="s">
        <v>19</v>
      </c>
      <c r="C32">
        <v>4</v>
      </c>
      <c r="O32" s="9">
        <v>29</v>
      </c>
      <c r="P32" s="23">
        <f>D11</f>
        <v>334.6</v>
      </c>
      <c r="Q32" s="44">
        <f t="shared" si="0"/>
        <v>347.31480000000005</v>
      </c>
      <c r="R32" s="44">
        <f t="shared" ca="1" si="1"/>
        <v>337.15450125285804</v>
      </c>
    </row>
    <row r="33" spans="2:18" x14ac:dyDescent="0.2">
      <c r="B33" t="s">
        <v>20</v>
      </c>
      <c r="O33" s="9">
        <v>30</v>
      </c>
      <c r="P33" s="23">
        <f>D11</f>
        <v>334.6</v>
      </c>
      <c r="Q33" s="44">
        <f t="shared" si="0"/>
        <v>347.31480000000005</v>
      </c>
      <c r="R33" s="44">
        <f t="shared" ca="1" si="1"/>
        <v>350.69924986519942</v>
      </c>
    </row>
    <row r="34" spans="2:18" x14ac:dyDescent="0.2">
      <c r="O34" s="9">
        <v>31</v>
      </c>
      <c r="P34" s="23">
        <f>D11</f>
        <v>334.6</v>
      </c>
      <c r="Q34" s="44">
        <f t="shared" si="0"/>
        <v>347.31480000000005</v>
      </c>
      <c r="R34" s="44">
        <f t="shared" ca="1" si="1"/>
        <v>349.93065636479088</v>
      </c>
    </row>
    <row r="35" spans="2:18" x14ac:dyDescent="0.2">
      <c r="O35" s="9">
        <v>32</v>
      </c>
      <c r="P35" s="23">
        <f>D11</f>
        <v>334.6</v>
      </c>
      <c r="Q35" s="44">
        <f t="shared" si="0"/>
        <v>347.31480000000005</v>
      </c>
      <c r="R35" s="44">
        <f t="shared" ca="1" si="1"/>
        <v>337.90191791861918</v>
      </c>
    </row>
    <row r="36" spans="2:18" x14ac:dyDescent="0.2">
      <c r="O36" s="9">
        <v>33</v>
      </c>
      <c r="P36" s="23">
        <f>D11</f>
        <v>334.6</v>
      </c>
      <c r="Q36" s="44">
        <f t="shared" si="0"/>
        <v>347.31480000000005</v>
      </c>
      <c r="R36" s="44">
        <f t="shared" ca="1" si="1"/>
        <v>341.37793965059808</v>
      </c>
    </row>
    <row r="37" spans="2:18" x14ac:dyDescent="0.2">
      <c r="O37" s="9">
        <v>34</v>
      </c>
      <c r="P37" s="23">
        <f>D11</f>
        <v>334.6</v>
      </c>
      <c r="Q37" s="44">
        <f t="shared" si="0"/>
        <v>347.31480000000005</v>
      </c>
      <c r="R37" s="44">
        <f t="shared" ca="1" si="1"/>
        <v>370.2167528301743</v>
      </c>
    </row>
    <row r="38" spans="2:18" x14ac:dyDescent="0.2">
      <c r="O38" s="9">
        <v>35</v>
      </c>
      <c r="P38" s="23">
        <f>D11</f>
        <v>334.6</v>
      </c>
      <c r="Q38" s="44">
        <f t="shared" si="0"/>
        <v>347.31480000000005</v>
      </c>
      <c r="R38" s="44">
        <f t="shared" ca="1" si="1"/>
        <v>340.54060134681686</v>
      </c>
    </row>
    <row r="39" spans="2:18" x14ac:dyDescent="0.2">
      <c r="O39" s="9">
        <v>36</v>
      </c>
      <c r="P39" s="23">
        <f>D11</f>
        <v>334.6</v>
      </c>
      <c r="Q39" s="44">
        <f t="shared" si="0"/>
        <v>347.31480000000005</v>
      </c>
      <c r="R39" s="44">
        <f t="shared" ca="1" si="1"/>
        <v>326.70679040601067</v>
      </c>
    </row>
    <row r="40" spans="2:18" x14ac:dyDescent="0.2">
      <c r="O40" s="9">
        <v>37</v>
      </c>
      <c r="P40" s="23">
        <f>D11</f>
        <v>334.6</v>
      </c>
      <c r="Q40" s="44">
        <f t="shared" si="0"/>
        <v>347.31480000000005</v>
      </c>
      <c r="R40" s="44">
        <f t="shared" ca="1" si="1"/>
        <v>356.95566594649159</v>
      </c>
    </row>
    <row r="41" spans="2:18" x14ac:dyDescent="0.2">
      <c r="O41" s="9">
        <v>38</v>
      </c>
      <c r="P41" s="23">
        <f>D11</f>
        <v>334.6</v>
      </c>
      <c r="Q41" s="44">
        <f t="shared" si="0"/>
        <v>347.31480000000005</v>
      </c>
      <c r="R41" s="44">
        <f t="shared" ca="1" si="1"/>
        <v>326.39372625095388</v>
      </c>
    </row>
    <row r="42" spans="2:18" x14ac:dyDescent="0.2">
      <c r="O42" s="9">
        <v>39</v>
      </c>
      <c r="P42" s="23">
        <f>D11</f>
        <v>334.6</v>
      </c>
      <c r="Q42" s="44">
        <f t="shared" si="0"/>
        <v>347.31480000000005</v>
      </c>
      <c r="R42" s="44">
        <f t="shared" ca="1" si="1"/>
        <v>369.33651852865722</v>
      </c>
    </row>
    <row r="43" spans="2:18" x14ac:dyDescent="0.2">
      <c r="O43" s="9">
        <v>40</v>
      </c>
      <c r="P43" s="23">
        <f>D11</f>
        <v>334.6</v>
      </c>
      <c r="Q43" s="44">
        <f t="shared" si="0"/>
        <v>347.31480000000005</v>
      </c>
      <c r="R43" s="44">
        <f t="shared" ca="1" si="1"/>
        <v>319.88574317634937</v>
      </c>
    </row>
    <row r="44" spans="2:18" x14ac:dyDescent="0.2">
      <c r="O44" s="9">
        <v>41</v>
      </c>
      <c r="P44" s="23">
        <f>D11</f>
        <v>334.6</v>
      </c>
      <c r="Q44" s="44">
        <f t="shared" si="0"/>
        <v>347.31480000000005</v>
      </c>
      <c r="R44" s="44">
        <f t="shared" ca="1" si="1"/>
        <v>342.3141866746555</v>
      </c>
    </row>
    <row r="45" spans="2:18" x14ac:dyDescent="0.2">
      <c r="O45" s="9">
        <v>42</v>
      </c>
      <c r="P45" s="23">
        <f>D11</f>
        <v>334.6</v>
      </c>
      <c r="Q45" s="44">
        <f t="shared" si="0"/>
        <v>347.31480000000005</v>
      </c>
      <c r="R45" s="44">
        <f t="shared" ca="1" si="1"/>
        <v>325.0525591002164</v>
      </c>
    </row>
    <row r="46" spans="2:18" x14ac:dyDescent="0.2">
      <c r="O46" s="9">
        <v>43</v>
      </c>
      <c r="P46" s="23">
        <f>D11</f>
        <v>334.6</v>
      </c>
      <c r="Q46" s="44">
        <f t="shared" si="0"/>
        <v>347.31480000000005</v>
      </c>
      <c r="R46" s="44">
        <f t="shared" ca="1" si="1"/>
        <v>359.78476577969383</v>
      </c>
    </row>
    <row r="47" spans="2:18" x14ac:dyDescent="0.2">
      <c r="O47" s="9">
        <v>44</v>
      </c>
      <c r="P47" s="23">
        <f>D11</f>
        <v>334.6</v>
      </c>
      <c r="Q47" s="44">
        <f t="shared" si="0"/>
        <v>347.31480000000005</v>
      </c>
      <c r="R47" s="44">
        <f t="shared" ca="1" si="1"/>
        <v>331.34914184634562</v>
      </c>
    </row>
    <row r="48" spans="2:18" x14ac:dyDescent="0.2">
      <c r="O48" s="9">
        <v>45</v>
      </c>
      <c r="P48" s="23">
        <f>D11</f>
        <v>334.6</v>
      </c>
      <c r="Q48" s="44">
        <f t="shared" si="0"/>
        <v>347.31480000000005</v>
      </c>
      <c r="R48" s="44">
        <f t="shared" ca="1" si="1"/>
        <v>355.10245887441346</v>
      </c>
    </row>
    <row r="49" spans="15:18" x14ac:dyDescent="0.2">
      <c r="O49" s="9">
        <v>46</v>
      </c>
      <c r="P49" s="23">
        <f>D11</f>
        <v>334.6</v>
      </c>
      <c r="Q49" s="44">
        <f t="shared" si="0"/>
        <v>347.31480000000005</v>
      </c>
      <c r="R49" s="44">
        <f t="shared" ca="1" si="1"/>
        <v>340.48679739079847</v>
      </c>
    </row>
    <row r="50" spans="15:18" x14ac:dyDescent="0.2">
      <c r="O50" s="9">
        <v>47</v>
      </c>
      <c r="P50" s="23">
        <f>D11</f>
        <v>334.6</v>
      </c>
      <c r="Q50" s="44">
        <f t="shared" si="0"/>
        <v>347.31480000000005</v>
      </c>
      <c r="R50" s="44">
        <f t="shared" ca="1" si="1"/>
        <v>375.95110825133406</v>
      </c>
    </row>
    <row r="51" spans="15:18" x14ac:dyDescent="0.2">
      <c r="O51" s="9">
        <v>48</v>
      </c>
      <c r="P51" s="23">
        <f>D11</f>
        <v>334.6</v>
      </c>
      <c r="Q51" s="44">
        <f t="shared" si="0"/>
        <v>347.31480000000005</v>
      </c>
      <c r="R51" s="44">
        <f t="shared" ca="1" si="1"/>
        <v>368.84187458120891</v>
      </c>
    </row>
    <row r="52" spans="15:18" x14ac:dyDescent="0.2">
      <c r="O52" s="9">
        <v>49</v>
      </c>
      <c r="P52" s="23">
        <f>D11</f>
        <v>334.6</v>
      </c>
      <c r="Q52" s="44">
        <f t="shared" si="0"/>
        <v>347.31480000000005</v>
      </c>
      <c r="R52" s="44">
        <f t="shared" ca="1" si="1"/>
        <v>317.41278366537784</v>
      </c>
    </row>
    <row r="53" spans="15:18" x14ac:dyDescent="0.2">
      <c r="O53" s="9">
        <v>50</v>
      </c>
      <c r="P53" s="23">
        <f>D11</f>
        <v>334.6</v>
      </c>
      <c r="Q53" s="44">
        <f t="shared" si="0"/>
        <v>347.31480000000005</v>
      </c>
      <c r="R53" s="44">
        <f t="shared" ca="1" si="1"/>
        <v>328.37937635015686</v>
      </c>
    </row>
    <row r="55" spans="15:18" x14ac:dyDescent="0.2">
      <c r="R55" s="65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Modelo de Simulação</vt:lpstr>
      <vt:lpstr>Simulação - Lucro</vt:lpstr>
      <vt:lpstr>Simulação - Taxa de Serviço</vt:lpstr>
      <vt:lpstr>Simulação - Custos</vt:lpstr>
      <vt:lpstr>s e S segundo fórmula</vt:lpstr>
      <vt:lpstr>Gráficos</vt:lpstr>
      <vt:lpstr>Enunciado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Flávio</dc:creator>
  <cp:lastModifiedBy>Catarina Araújo Machado</cp:lastModifiedBy>
  <dcterms:created xsi:type="dcterms:W3CDTF">2019-04-25T19:10:31Z</dcterms:created>
  <dcterms:modified xsi:type="dcterms:W3CDTF">2019-05-12T22:23:54Z</dcterms:modified>
</cp:coreProperties>
</file>